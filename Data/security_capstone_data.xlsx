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faridynamite/Desktop/6) IT Related/Data Analytics Capstone/"/>
    </mc:Choice>
  </mc:AlternateContent>
  <xr:revisionPtr revIDLastSave="0" documentId="13_ncr:1_{971CDC8C-C8C0-0E4C-925D-A7D1C5245244}" xr6:coauthVersionLast="47" xr6:coauthVersionMax="47" xr10:uidLastSave="{00000000-0000-0000-0000-000000000000}"/>
  <bookViews>
    <workbookView xWindow="0" yWindow="500" windowWidth="26220" windowHeight="14860" activeTab="6" xr2:uid="{B363617C-A873-8C43-99E3-DD5A1C1B0A3D}"/>
  </bookViews>
  <sheets>
    <sheet name="Key" sheetId="6" r:id="rId1"/>
    <sheet name="Question1" sheetId="1" r:id="rId2"/>
    <sheet name="Question 2" sheetId="2" r:id="rId3"/>
    <sheet name="Question 3" sheetId="4" r:id="rId4"/>
    <sheet name="Question 4" sheetId="5" r:id="rId5"/>
    <sheet name="Question 5" sheetId="3" r:id="rId6"/>
    <sheet name="Mitr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G26" i="3"/>
  <c r="G25" i="3"/>
  <c r="K27" i="3"/>
  <c r="K26" i="3"/>
  <c r="K25" i="3"/>
  <c r="C25" i="3"/>
  <c r="B26" i="3"/>
  <c r="B25" i="3"/>
  <c r="B28" i="2"/>
  <c r="A28" i="2"/>
  <c r="A25" i="2"/>
  <c r="B25" i="1"/>
  <c r="D14" i="1"/>
  <c r="D13" i="1"/>
  <c r="D12" i="1"/>
  <c r="B25" i="5"/>
  <c r="B24" i="5"/>
  <c r="B23" i="5"/>
  <c r="B21" i="5"/>
  <c r="B20" i="5"/>
  <c r="B19" i="5"/>
  <c r="D36" i="3"/>
  <c r="D35" i="3"/>
  <c r="D34" i="3"/>
  <c r="D33" i="3"/>
  <c r="D32" i="3"/>
  <c r="D31" i="3"/>
  <c r="D30" i="3"/>
  <c r="J26" i="3" l="1"/>
  <c r="J27" i="3"/>
  <c r="J25" i="3"/>
  <c r="F26" i="3"/>
  <c r="F25" i="3"/>
  <c r="C27" i="3"/>
  <c r="B27" i="3"/>
  <c r="B27" i="1"/>
  <c r="B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safaridynmte@gmail.com</author>
    <author>tc={365AF8C7-7833-574E-88A4-A3F7B178A1B0}</author>
  </authors>
  <commentList>
    <comment ref="E6" authorId="0" shapeId="0" xr:uid="{987FA9B1-E857-FF4C-8CB2-7812498937EB}">
      <text>
        <r>
          <rPr>
            <b/>
            <sz val="10"/>
            <color rgb="FF000000"/>
            <rFont val="Tahoma"/>
            <family val="2"/>
          </rPr>
          <t>Note</t>
        </r>
        <r>
          <rPr>
            <sz val="10"/>
            <color rgb="FF000000"/>
            <rFont val="Tahoma"/>
            <family val="2"/>
          </rPr>
          <t>: I just did this as an overall search because of how pervasive this account is overall.</t>
        </r>
      </text>
    </comment>
    <comment ref="D14" authorId="1" shapeId="0" xr:uid="{365AF8C7-7833-574E-88A4-A3F7B178A1B0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be completely wrong, need to double check. Weirdly disconnected from rest of data. Remember to try to search for Exfiltration.</t>
      </text>
    </comment>
    <comment ref="F23" authorId="0" shapeId="0" xr:uid="{2BC41769-4B9E-3C46-8A4D-A7C186F32D0E}">
      <text>
        <r>
          <rPr>
            <b/>
            <sz val="10"/>
            <color rgb="FF000000"/>
            <rFont val="Tahoma"/>
            <family val="2"/>
          </rPr>
          <t>T1486 is the unique parameter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24" authorId="0" shapeId="0" xr:uid="{0CB5EC95-E9ED-A948-A70B-CA862B6D20A5}">
      <text>
        <r>
          <rPr>
            <b/>
            <sz val="10"/>
            <color rgb="FF000000"/>
            <rFont val="Tahoma"/>
            <family val="2"/>
          </rPr>
          <t xml:space="preserve">T1078.002 is the unique parameter
</t>
        </r>
      </text>
    </comment>
  </commentList>
</comments>
</file>

<file path=xl/sharedStrings.xml><?xml version="1.0" encoding="utf-8"?>
<sst xmlns="http://schemas.openxmlformats.org/spreadsheetml/2006/main" count="422" uniqueCount="156">
  <si>
    <t>AccountUpn</t>
  </si>
  <si>
    <t>Total_High_Severity_Count</t>
  </si>
  <si>
    <t>Ransomware</t>
  </si>
  <si>
    <t>Impact</t>
  </si>
  <si>
    <t>Exfiltration</t>
  </si>
  <si>
    <t>CommandAndControl</t>
  </si>
  <si>
    <t>Category</t>
  </si>
  <si>
    <t>High_Severity_Count</t>
  </si>
  <si>
    <t>PrivilegeEscalation</t>
  </si>
  <si>
    <t>SuspiciousActivity</t>
  </si>
  <si>
    <t>LateralMovement</t>
  </si>
  <si>
    <t>Execution</t>
  </si>
  <si>
    <t>CredentialStealing</t>
  </si>
  <si>
    <t>CredentialAccess</t>
  </si>
  <si>
    <t>InitialAccess</t>
  </si>
  <si>
    <t>Persistence</t>
  </si>
  <si>
    <t>DefenseEvasion</t>
  </si>
  <si>
    <t>Malware</t>
  </si>
  <si>
    <t>Attack_Count</t>
  </si>
  <si>
    <t>Low_Severity_Action</t>
  </si>
  <si>
    <t>High_Severity_Action</t>
  </si>
  <si>
    <t>No_Action_Taken</t>
  </si>
  <si>
    <t>NoThreats_LastVerdict</t>
  </si>
  <si>
    <t>Incident Grades</t>
  </si>
  <si>
    <t>Actions Taken</t>
  </si>
  <si>
    <t>Malicious_LastVerdict</t>
  </si>
  <si>
    <t>Last Verdicts</t>
  </si>
  <si>
    <t>Suspicious_LastVerdict</t>
  </si>
  <si>
    <t>True_Positive</t>
  </si>
  <si>
    <t>False_Positive</t>
  </si>
  <si>
    <t>Benign_Positive</t>
  </si>
  <si>
    <t>Unresolved_Grade</t>
  </si>
  <si>
    <t>Unresolved_LastVerdict</t>
  </si>
  <si>
    <t>Discovery</t>
  </si>
  <si>
    <t>Attacked_Roles</t>
  </si>
  <si>
    <t>Compromised_Roles</t>
  </si>
  <si>
    <t>PolicyViolator_Roles</t>
  </si>
  <si>
    <t>Suspicious_Roles</t>
  </si>
  <si>
    <t>Account Off Hours</t>
  </si>
  <si>
    <t>Total_OffHours</t>
  </si>
  <si>
    <t>Levels</t>
  </si>
  <si>
    <t>Suspicion_Level</t>
  </si>
  <si>
    <t>Incriminated_Level</t>
  </si>
  <si>
    <t>Roles</t>
  </si>
  <si>
    <t>OrgId</t>
  </si>
  <si>
    <t>Org Off Hours</t>
  </si>
  <si>
    <t>Unresolved_Alerts</t>
  </si>
  <si>
    <t>Unresolved_Alert_Count</t>
  </si>
  <si>
    <t>Alert_Count</t>
  </si>
  <si>
    <t>Avg_Seconds_Between_Alerts</t>
  </si>
  <si>
    <t>Top 3 Severe Attacks</t>
  </si>
  <si>
    <t>Top 3 Frequent Attacks</t>
  </si>
  <si>
    <t>Technique_Count</t>
  </si>
  <si>
    <t>Malicious_Verdict</t>
  </si>
  <si>
    <t>Suspicious_Verdict</t>
  </si>
  <si>
    <t>NoThreats_Verdict</t>
  </si>
  <si>
    <t>Unresolved_Verdict</t>
  </si>
  <si>
    <t>WebExploit</t>
  </si>
  <si>
    <t>Weaponization</t>
  </si>
  <si>
    <t>Top 3 Least Attacks</t>
  </si>
  <si>
    <t>Most Frequent Alerts</t>
  </si>
  <si>
    <t>Most Frequent Severe Alerts</t>
  </si>
  <si>
    <t>% of High Severity</t>
  </si>
  <si>
    <t>% Resolved</t>
  </si>
  <si>
    <t>% Unresolved</t>
  </si>
  <si>
    <t>Frequent Attacks</t>
  </si>
  <si>
    <t>% Severe</t>
  </si>
  <si>
    <t>Severe Attacks</t>
  </si>
  <si>
    <t>Least Attacks</t>
  </si>
  <si>
    <t>Collection</t>
  </si>
  <si>
    <t>Exploit</t>
  </si>
  <si>
    <t>UnwantedSoftware</t>
  </si>
  <si>
    <t>ConfirmedUserCompromised</t>
  </si>
  <si>
    <t>SuspendedUser</t>
  </si>
  <si>
    <t>IsolatedResponse</t>
  </si>
  <si>
    <t>QuarantineFile</t>
  </si>
  <si>
    <t>DisabledAccount</t>
  </si>
  <si>
    <t>DisabledUser</t>
  </si>
  <si>
    <t>DeletedAccount</t>
  </si>
  <si>
    <t>DeletedUser</t>
  </si>
  <si>
    <t>DeletedVirtualMachines</t>
  </si>
  <si>
    <t>ForcedResetPassword</t>
  </si>
  <si>
    <t>ForcedChangedUserPassword</t>
  </si>
  <si>
    <t>ResettedUserPassword</t>
  </si>
  <si>
    <t>ChangedUserPassword</t>
  </si>
  <si>
    <t>UpdatedTokenTimestamp</t>
  </si>
  <si>
    <t>Medium_Severity_Action</t>
  </si>
  <si>
    <t>High_Severity_Category</t>
  </si>
  <si>
    <t>Low_Severity_Category</t>
  </si>
  <si>
    <t>T1485</t>
  </si>
  <si>
    <t>T1087;T1087.002</t>
  </si>
  <si>
    <t>T1133</t>
  </si>
  <si>
    <t>T1041</t>
  </si>
  <si>
    <t>T1021.002;T1039;T1074.002;T1078;T1080;T1486;T1570</t>
  </si>
  <si>
    <t>T1566</t>
  </si>
  <si>
    <t>T1190</t>
  </si>
  <si>
    <t>Top_MitreTechniques</t>
  </si>
  <si>
    <t>Top_Technique_Count</t>
  </si>
  <si>
    <t>% Top vs Total Count</t>
  </si>
  <si>
    <t>Description</t>
  </si>
  <si>
    <t>Account Discovery</t>
  </si>
  <si>
    <t>External Remote Services</t>
  </si>
  <si>
    <t>Data Destruction</t>
  </si>
  <si>
    <t>Exfiltration Over Command and Control Channel</t>
  </si>
  <si>
    <t>Phishing</t>
  </si>
  <si>
    <t>Exploit Public-Facing Application</t>
  </si>
  <si>
    <t>Ransomware_Techniques</t>
  </si>
  <si>
    <t>T1021.002</t>
  </si>
  <si>
    <t>T1039</t>
  </si>
  <si>
    <t>T1074.002</t>
  </si>
  <si>
    <t>T1078</t>
  </si>
  <si>
    <t>T1080</t>
  </si>
  <si>
    <t>T1486</t>
  </si>
  <si>
    <t>T1570</t>
  </si>
  <si>
    <t>Windows Admin Shares</t>
  </si>
  <si>
    <t>Data from Network Shared Drive</t>
  </si>
  <si>
    <t>Data Staged in Cloud</t>
  </si>
  <si>
    <t>Valid Accounts</t>
  </si>
  <si>
    <t>Taint Shared Content</t>
  </si>
  <si>
    <t>Data Encrypted for Impact</t>
  </si>
  <si>
    <t>Lateral Tool Transfer</t>
  </si>
  <si>
    <t>Account 673934</t>
  </si>
  <si>
    <t>Avg Seconds</t>
  </si>
  <si>
    <t>% Compared to Account</t>
  </si>
  <si>
    <t>1 vs. 673934 Alerts</t>
  </si>
  <si>
    <t>Frequent</t>
  </si>
  <si>
    <t>Severe</t>
  </si>
  <si>
    <t>Account</t>
  </si>
  <si>
    <t>Most Overall</t>
  </si>
  <si>
    <t>Most Severe Alerts</t>
  </si>
  <si>
    <t>Unresolved Alerts</t>
  </si>
  <si>
    <t>OrgID</t>
  </si>
  <si>
    <t>MitreTechniques</t>
  </si>
  <si>
    <t>MostMitre</t>
  </si>
  <si>
    <t>T1190;T1133</t>
  </si>
  <si>
    <t>T1021.002;T1039;T1074.002;T1078;T1078.002;T1080;T1486;T1570</t>
  </si>
  <si>
    <t>T1021.002;T1039;T1074.002;T1078;T1080;T1570</t>
  </si>
  <si>
    <t>All</t>
  </si>
  <si>
    <t>T1566.002</t>
  </si>
  <si>
    <t>T1036;T1080;T1204;T1218;T1534;T1566.001;T1566.003</t>
  </si>
  <si>
    <t>T1059.001;T1113</t>
  </si>
  <si>
    <t>Alerts</t>
  </si>
  <si>
    <t>ThreatFamily</t>
  </si>
  <si>
    <t>EntityType</t>
  </si>
  <si>
    <t>User</t>
  </si>
  <si>
    <t>Machine</t>
  </si>
  <si>
    <t>Ip</t>
  </si>
  <si>
    <t>MailCluster</t>
  </si>
  <si>
    <t>Url</t>
  </si>
  <si>
    <t>MailMessage</t>
  </si>
  <si>
    <t>Most_Orgs</t>
  </si>
  <si>
    <t>Most_Accounts</t>
  </si>
  <si>
    <t>Total_Threats</t>
  </si>
  <si>
    <t>Meterpreter</t>
  </si>
  <si>
    <t>T1055.001</t>
  </si>
  <si>
    <t>Total_Mitre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</si>
</sst>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202124"/>
      <name val="Aptos Narrow"/>
      <scheme val="minor"/>
    </font>
    <font>
      <sz val="12"/>
      <color rgb="FF000000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18" fillId="0" borderId="0" xfId="0" applyFont="1"/>
    <xf numFmtId="0" fontId="19" fillId="0" borderId="0" xfId="0" applyFont="1"/>
    <xf numFmtId="9" fontId="19" fillId="0" borderId="0" xfId="42" applyFont="1"/>
    <xf numFmtId="164" fontId="19" fillId="0" borderId="0" xfId="0" applyNumberFormat="1" applyFont="1"/>
    <xf numFmtId="0" fontId="19" fillId="0" borderId="0" xfId="0" applyFont="1" applyAlignment="1">
      <alignment wrapText="1"/>
    </xf>
    <xf numFmtId="164" fontId="18" fillId="0" borderId="0" xfId="0" applyNumberFormat="1" applyFont="1"/>
    <xf numFmtId="0" fontId="18" fillId="0" borderId="12" xfId="0" applyFont="1" applyBorder="1"/>
    <xf numFmtId="0" fontId="18" fillId="0" borderId="13" xfId="0" applyFont="1" applyBorder="1"/>
    <xf numFmtId="0" fontId="19" fillId="0" borderId="10" xfId="0" applyFont="1" applyBorder="1"/>
    <xf numFmtId="9" fontId="19" fillId="0" borderId="10" xfId="42" applyFont="1" applyBorder="1"/>
    <xf numFmtId="0" fontId="18" fillId="0" borderId="16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8" fillId="0" borderId="16" xfId="0" applyFont="1" applyBorder="1"/>
    <xf numFmtId="0" fontId="18" fillId="0" borderId="18" xfId="0" applyFont="1" applyBorder="1"/>
    <xf numFmtId="0" fontId="19" fillId="0" borderId="19" xfId="0" applyFont="1" applyBorder="1"/>
    <xf numFmtId="0" fontId="19" fillId="0" borderId="20" xfId="0" applyFont="1" applyBorder="1"/>
    <xf numFmtId="9" fontId="19" fillId="0" borderId="21" xfId="42" applyFont="1" applyBorder="1"/>
    <xf numFmtId="0" fontId="19" fillId="0" borderId="22" xfId="0" applyFont="1" applyBorder="1"/>
    <xf numFmtId="9" fontId="19" fillId="0" borderId="23" xfId="42" applyFont="1" applyBorder="1"/>
    <xf numFmtId="0" fontId="19" fillId="0" borderId="24" xfId="0" applyFont="1" applyBorder="1"/>
    <xf numFmtId="0" fontId="19" fillId="0" borderId="25" xfId="0" applyFont="1" applyBorder="1"/>
    <xf numFmtId="9" fontId="19" fillId="0" borderId="26" xfId="42" applyFont="1" applyBorder="1"/>
    <xf numFmtId="0" fontId="19" fillId="0" borderId="21" xfId="0" applyFont="1" applyBorder="1"/>
    <xf numFmtId="0" fontId="19" fillId="0" borderId="23" xfId="0" applyFont="1" applyBorder="1"/>
    <xf numFmtId="0" fontId="19" fillId="0" borderId="26" xfId="0" applyFont="1" applyBorder="1"/>
    <xf numFmtId="0" fontId="19" fillId="0" borderId="28" xfId="0" applyFont="1" applyBorder="1"/>
    <xf numFmtId="0" fontId="19" fillId="0" borderId="29" xfId="0" applyFont="1" applyBorder="1"/>
    <xf numFmtId="0" fontId="18" fillId="0" borderId="30" xfId="0" applyFont="1" applyBorder="1"/>
    <xf numFmtId="0" fontId="18" fillId="0" borderId="17" xfId="0" applyFont="1" applyBorder="1"/>
    <xf numFmtId="164" fontId="18" fillId="0" borderId="18" xfId="0" applyNumberFormat="1" applyFont="1" applyBorder="1"/>
    <xf numFmtId="164" fontId="19" fillId="0" borderId="21" xfId="0" applyNumberFormat="1" applyFont="1" applyBorder="1"/>
    <xf numFmtId="164" fontId="19" fillId="0" borderId="23" xfId="0" applyNumberFormat="1" applyFont="1" applyBorder="1"/>
    <xf numFmtId="164" fontId="19" fillId="0" borderId="26" xfId="0" applyNumberFormat="1" applyFont="1" applyBorder="1"/>
    <xf numFmtId="164" fontId="19" fillId="0" borderId="27" xfId="0" applyNumberFormat="1" applyFont="1" applyBorder="1"/>
    <xf numFmtId="164" fontId="19" fillId="0" borderId="29" xfId="0" applyNumberFormat="1" applyFont="1" applyBorder="1"/>
    <xf numFmtId="0" fontId="18" fillId="33" borderId="11" xfId="0" applyFont="1" applyFill="1" applyBorder="1"/>
    <xf numFmtId="0" fontId="19" fillId="0" borderId="32" xfId="0" applyFont="1" applyBorder="1"/>
    <xf numFmtId="0" fontId="19" fillId="0" borderId="31" xfId="0" applyFont="1" applyBorder="1"/>
    <xf numFmtId="0" fontId="19" fillId="0" borderId="33" xfId="0" applyFont="1" applyBorder="1"/>
    <xf numFmtId="0" fontId="18" fillId="33" borderId="30" xfId="0" applyFont="1" applyFill="1" applyBorder="1"/>
    <xf numFmtId="0" fontId="19" fillId="0" borderId="14" xfId="0" applyFont="1" applyBorder="1"/>
    <xf numFmtId="0" fontId="19" fillId="0" borderId="11" xfId="0" applyFont="1" applyBorder="1"/>
    <xf numFmtId="9" fontId="19" fillId="0" borderId="0" xfId="42" applyFont="1" applyBorder="1"/>
    <xf numFmtId="0" fontId="19" fillId="0" borderId="12" xfId="0" applyFont="1" applyBorder="1"/>
    <xf numFmtId="0" fontId="19" fillId="0" borderId="15" xfId="0" applyFont="1" applyBorder="1"/>
    <xf numFmtId="0" fontId="19" fillId="0" borderId="13" xfId="0" applyFont="1" applyBorder="1"/>
    <xf numFmtId="0" fontId="19" fillId="0" borderId="34" xfId="0" applyFont="1" applyBorder="1"/>
    <xf numFmtId="0" fontId="19" fillId="0" borderId="17" xfId="0" applyFont="1" applyBorder="1"/>
    <xf numFmtId="0" fontId="19" fillId="0" borderId="35" xfId="0" applyFont="1" applyBorder="1"/>
    <xf numFmtId="0" fontId="20" fillId="0" borderId="0" xfId="0" applyFont="1"/>
    <xf numFmtId="0" fontId="20" fillId="0" borderId="25" xfId="0" applyFont="1" applyBorder="1"/>
    <xf numFmtId="9" fontId="19" fillId="0" borderId="25" xfId="42" applyFont="1" applyBorder="1"/>
    <xf numFmtId="0" fontId="19" fillId="0" borderId="38" xfId="0" applyFont="1" applyBorder="1"/>
    <xf numFmtId="0" fontId="19" fillId="0" borderId="37" xfId="0" applyFont="1" applyBorder="1"/>
    <xf numFmtId="0" fontId="19" fillId="0" borderId="36" xfId="0" applyFont="1" applyBorder="1"/>
    <xf numFmtId="0" fontId="18" fillId="0" borderId="38" xfId="0" applyFont="1" applyBorder="1"/>
    <xf numFmtId="0" fontId="18" fillId="0" borderId="37" xfId="0" applyFont="1" applyBorder="1"/>
    <xf numFmtId="0" fontId="18" fillId="0" borderId="36" xfId="0" applyFont="1" applyBorder="1"/>
    <xf numFmtId="0" fontId="0" fillId="0" borderId="0" xfId="0" applyAlignment="1">
      <alignment wrapText="1"/>
    </xf>
    <xf numFmtId="0" fontId="21" fillId="0" borderId="0" xfId="0" applyFont="1"/>
    <xf numFmtId="0" fontId="0" fillId="0" borderId="23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39" xfId="0" applyBorder="1"/>
    <xf numFmtId="0" fontId="0" fillId="0" borderId="25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6" xfId="0" applyBorder="1" applyAlignment="1">
      <alignment wrapText="1"/>
    </xf>
    <xf numFmtId="0" fontId="21" fillId="0" borderId="17" xfId="0" applyFont="1" applyBorder="1"/>
    <xf numFmtId="0" fontId="21" fillId="0" borderId="33" xfId="0" applyFont="1" applyBorder="1"/>
    <xf numFmtId="0" fontId="21" fillId="0" borderId="32" xfId="0" applyFont="1" applyBorder="1"/>
    <xf numFmtId="0" fontId="0" fillId="0" borderId="12" xfId="0" applyBorder="1"/>
    <xf numFmtId="0" fontId="0" fillId="0" borderId="33" xfId="0" applyBorder="1"/>
    <xf numFmtId="0" fontId="0" fillId="0" borderId="32" xfId="0" applyBorder="1"/>
    <xf numFmtId="0" fontId="0" fillId="0" borderId="15" xfId="0" applyBorder="1"/>
    <xf numFmtId="0" fontId="0" fillId="0" borderId="37" xfId="0" applyBorder="1"/>
    <xf numFmtId="0" fontId="0" fillId="0" borderId="0" xfId="0" applyAlignment="1">
      <alignment horizontal="left" wrapText="1"/>
    </xf>
    <xf numFmtId="0" fontId="0" fillId="0" borderId="11" xfId="0" applyBorder="1"/>
    <xf numFmtId="0" fontId="0" fillId="34" borderId="12" xfId="0" applyFill="1" applyBorder="1"/>
    <xf numFmtId="0" fontId="0" fillId="34" borderId="15" xfId="0" applyFill="1" applyBorder="1"/>
    <xf numFmtId="0" fontId="0" fillId="34" borderId="13" xfId="0" applyFill="1" applyBorder="1"/>
    <xf numFmtId="0" fontId="0" fillId="34" borderId="37" xfId="0" applyFill="1" applyBorder="1"/>
    <xf numFmtId="0" fontId="0" fillId="34" borderId="25" xfId="0" applyFill="1" applyBorder="1"/>
    <xf numFmtId="0" fontId="0" fillId="34" borderId="26" xfId="0" applyFill="1" applyBorder="1"/>
    <xf numFmtId="0" fontId="19" fillId="35" borderId="37" xfId="0" applyFont="1" applyFill="1" applyBorder="1"/>
    <xf numFmtId="0" fontId="0" fillId="35" borderId="0" xfId="0" applyFill="1"/>
    <xf numFmtId="0" fontId="0" fillId="35" borderId="23" xfId="0" applyFill="1" applyBorder="1"/>
    <xf numFmtId="0" fontId="0" fillId="35" borderId="12" xfId="0" applyFill="1" applyBorder="1"/>
    <xf numFmtId="0" fontId="0" fillId="35" borderId="15" xfId="0" applyFill="1" applyBorder="1"/>
    <xf numFmtId="0" fontId="0" fillId="35" borderId="13" xfId="0" applyFill="1" applyBorder="1"/>
    <xf numFmtId="0" fontId="0" fillId="35" borderId="17" xfId="0" applyFill="1" applyBorder="1"/>
    <xf numFmtId="0" fontId="0" fillId="35" borderId="37" xfId="0" applyFill="1" applyBorder="1"/>
    <xf numFmtId="0" fontId="0" fillId="35" borderId="25" xfId="0" applyFill="1" applyBorder="1"/>
    <xf numFmtId="0" fontId="0" fillId="35" borderId="26" xfId="0" applyFill="1" applyBorder="1"/>
    <xf numFmtId="0" fontId="21" fillId="35" borderId="37" xfId="0" applyFont="1" applyFill="1" applyBorder="1"/>
    <xf numFmtId="0" fontId="0" fillId="35" borderId="0" xfId="0" applyFill="1" applyAlignment="1">
      <alignment wrapText="1"/>
    </xf>
    <xf numFmtId="0" fontId="0" fillId="35" borderId="35" xfId="0" applyFill="1" applyBorder="1"/>
    <xf numFmtId="0" fontId="0" fillId="35" borderId="15" xfId="0" applyFill="1" applyBorder="1" applyAlignment="1">
      <alignment wrapText="1"/>
    </xf>
    <xf numFmtId="0" fontId="0" fillId="35" borderId="23" xfId="0" applyFill="1" applyBorder="1" applyAlignment="1">
      <alignment wrapText="1"/>
    </xf>
    <xf numFmtId="0" fontId="0" fillId="35" borderId="25" xfId="0" applyFill="1" applyBorder="1" applyAlignment="1">
      <alignment wrapText="1"/>
    </xf>
    <xf numFmtId="0" fontId="0" fillId="35" borderId="4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Severity Categories by Account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Question1!$B$6</c:f>
              <c:strCache>
                <c:ptCount val="1"/>
                <c:pt idx="0">
                  <c:v>Total_High_Severity_Count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456-554B-9A3C-316389266FB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456-554B-9A3C-316389266FB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56-554B-9A3C-316389266FBF}"/>
              </c:ext>
            </c:extLst>
          </c:dPt>
          <c:dLbls>
            <c:dLbl>
              <c:idx val="0"/>
              <c:layout>
                <c:manualLayout>
                  <c:x val="-0.23698384201077202"/>
                  <c:y val="-0.1550000000000000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56-554B-9A3C-316389266FBF}"/>
                </c:ext>
              </c:extLst>
            </c:dLbl>
            <c:dLbl>
              <c:idx val="1"/>
              <c:layout>
                <c:manualLayout>
                  <c:x val="-0.10053859964093363"/>
                  <c:y val="2.499999999999995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456-554B-9A3C-316389266FBF}"/>
                </c:ext>
              </c:extLst>
            </c:dLbl>
            <c:dLbl>
              <c:idx val="2"/>
              <c:layout>
                <c:manualLayout>
                  <c:x val="0.12926391382405744"/>
                  <c:y val="2.50000000000000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56-554B-9A3C-316389266FB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numRef>
              <c:f>Question1!$A$7:$A$9</c:f>
              <c:numCache>
                <c:formatCode>General</c:formatCode>
                <c:ptCount val="3"/>
                <c:pt idx="0">
                  <c:v>673934</c:v>
                </c:pt>
                <c:pt idx="1">
                  <c:v>30</c:v>
                </c:pt>
                <c:pt idx="2">
                  <c:v>41</c:v>
                </c:pt>
              </c:numCache>
            </c:numRef>
          </c:cat>
          <c:val>
            <c:numRef>
              <c:f>Question1!$B$7:$B$9</c:f>
              <c:numCache>
                <c:formatCode>General</c:formatCode>
                <c:ptCount val="3"/>
                <c:pt idx="0">
                  <c:v>217265</c:v>
                </c:pt>
                <c:pt idx="1">
                  <c:v>1916</c:v>
                </c:pt>
                <c:pt idx="2">
                  <c:v>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6-554B-9A3C-316389266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Account</a:t>
            </a:r>
            <a:r>
              <a:rPr lang="en-US" b="1" baseline="0"/>
              <a:t> 673934 Top Incidents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Question1!$C$11</c:f>
              <c:strCache>
                <c:ptCount val="1"/>
                <c:pt idx="0">
                  <c:v>High_Severity_Count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Question1!$B$12:$B$14</c:f>
              <c:strCache>
                <c:ptCount val="3"/>
                <c:pt idx="0">
                  <c:v>SuspiciousActivity</c:v>
                </c:pt>
                <c:pt idx="1">
                  <c:v>CommandAndControl</c:v>
                </c:pt>
                <c:pt idx="2">
                  <c:v>Exfiltration</c:v>
                </c:pt>
              </c:strCache>
            </c:strRef>
          </c:cat>
          <c:val>
            <c:numRef>
              <c:f>Question1!$C$12:$C$14</c:f>
              <c:numCache>
                <c:formatCode>General</c:formatCode>
                <c:ptCount val="3"/>
                <c:pt idx="0">
                  <c:v>114826</c:v>
                </c:pt>
                <c:pt idx="1">
                  <c:v>33568</c:v>
                </c:pt>
                <c:pt idx="2">
                  <c:v>19450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C-754A-8A16-EFA57AC30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0209312"/>
        <c:axId val="920232768"/>
      </c:barChart>
      <c:catAx>
        <c:axId val="920209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232768"/>
        <c:crosses val="autoZero"/>
        <c:auto val="1"/>
        <c:lblAlgn val="ctr"/>
        <c:lblOffset val="100"/>
        <c:noMultiLvlLbl val="0"/>
      </c:catAx>
      <c:valAx>
        <c:axId val="92023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20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Account</a:t>
            </a:r>
            <a:r>
              <a:rPr lang="en-US" b="1" baseline="0"/>
              <a:t> 673934 </a:t>
            </a:r>
            <a:r>
              <a:rPr lang="en-US" b="1"/>
              <a:t>Avg Seconds Between Alerts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2'!$B$17</c:f>
              <c:strCache>
                <c:ptCount val="1"/>
                <c:pt idx="0">
                  <c:v>Avg Seconds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2'!$A$18:$A$22</c:f>
              <c:strCache>
                <c:ptCount val="5"/>
                <c:pt idx="0">
                  <c:v>Impact</c:v>
                </c:pt>
                <c:pt idx="1">
                  <c:v>Exfiltration</c:v>
                </c:pt>
                <c:pt idx="2">
                  <c:v>Ransomware</c:v>
                </c:pt>
                <c:pt idx="3">
                  <c:v>InitialAccess</c:v>
                </c:pt>
                <c:pt idx="4">
                  <c:v>Discovery</c:v>
                </c:pt>
              </c:strCache>
            </c:strRef>
          </c:cat>
          <c:val>
            <c:numRef>
              <c:f>'Question 2'!$B$18:$B$22</c:f>
              <c:numCache>
                <c:formatCode>0.0000</c:formatCode>
                <c:ptCount val="5"/>
                <c:pt idx="0">
                  <c:v>6.6535833568331596E-3</c:v>
                </c:pt>
                <c:pt idx="1">
                  <c:v>0.13994091042625101</c:v>
                </c:pt>
                <c:pt idx="2">
                  <c:v>4.5506075016933902</c:v>
                </c:pt>
                <c:pt idx="3">
                  <c:v>4.8159678237643999E-2</c:v>
                </c:pt>
                <c:pt idx="4">
                  <c:v>6.5964100917799695E-2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4-E242-8192-FFB5358F4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406336"/>
        <c:axId val="328796880"/>
      </c:barChart>
      <c:catAx>
        <c:axId val="33840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796880"/>
        <c:crosses val="autoZero"/>
        <c:auto val="1"/>
        <c:lblAlgn val="ctr"/>
        <c:lblOffset val="100"/>
        <c:noMultiLvlLbl val="0"/>
      </c:catAx>
      <c:valAx>
        <c:axId val="32879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40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</a:t>
            </a:r>
            <a:r>
              <a:rPr lang="en-US" baseline="0"/>
              <a:t> Hours Access Attempts by Account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4'!$A$18</c:f>
              <c:strCache>
                <c:ptCount val="1"/>
                <c:pt idx="0">
                  <c:v>AccountUpn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'Question 4'!$A$19:$A$21</c:f>
              <c:numCache>
                <c:formatCode>General</c:formatCode>
                <c:ptCount val="3"/>
                <c:pt idx="0">
                  <c:v>673934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F-8540-8F80-D6D4DD063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3062496"/>
        <c:axId val="903453936"/>
      </c:barChart>
      <c:lineChart>
        <c:grouping val="standard"/>
        <c:varyColors val="0"/>
        <c:ser>
          <c:idx val="1"/>
          <c:order val="1"/>
          <c:tx>
            <c:strRef>
              <c:f>'Question 4'!$B$18</c:f>
              <c:strCache>
                <c:ptCount val="1"/>
                <c:pt idx="0">
                  <c:v>% Unresolved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'Question 4'!$B$19:$B$21</c:f>
              <c:numCache>
                <c:formatCode>0%</c:formatCode>
                <c:ptCount val="3"/>
                <c:pt idx="0">
                  <c:v>0.99401511277108667</c:v>
                </c:pt>
                <c:pt idx="1">
                  <c:v>0.379922898997687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CF-8540-8F80-D6D4DD063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426112"/>
        <c:axId val="920877328"/>
      </c:lineChart>
      <c:catAx>
        <c:axId val="903062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03453936"/>
        <c:crosses val="autoZero"/>
        <c:auto val="1"/>
        <c:lblAlgn val="ctr"/>
        <c:lblOffset val="100"/>
        <c:tickLblSkip val="1"/>
        <c:noMultiLvlLbl val="0"/>
      </c:catAx>
      <c:valAx>
        <c:axId val="9034539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3062496"/>
        <c:crosses val="autoZero"/>
        <c:crossBetween val="between"/>
      </c:valAx>
      <c:valAx>
        <c:axId val="920877328"/>
        <c:scaling>
          <c:orientation val="minMax"/>
          <c:max val="1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426112"/>
        <c:crosses val="max"/>
        <c:crossBetween val="between"/>
      </c:valAx>
      <c:catAx>
        <c:axId val="921426112"/>
        <c:scaling>
          <c:orientation val="minMax"/>
        </c:scaling>
        <c:delete val="1"/>
        <c:axPos val="b"/>
        <c:majorTickMark val="none"/>
        <c:minorTickMark val="none"/>
        <c:tickLblPos val="nextTo"/>
        <c:crossAx val="92087732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1</xdr:row>
      <xdr:rowOff>38100</xdr:rowOff>
    </xdr:from>
    <xdr:to>
      <xdr:col>2</xdr:col>
      <xdr:colOff>1181100</xdr:colOff>
      <xdr:row>3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228829-9C31-40D8-0737-55012A0D8E40}"/>
            </a:ext>
          </a:extLst>
        </xdr:cNvPr>
        <xdr:cNvSpPr txBox="1"/>
      </xdr:nvSpPr>
      <xdr:spPr>
        <a:xfrm>
          <a:off x="165100" y="241300"/>
          <a:ext cx="3721100" cy="54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user accounts have triggered more than 3 high-severity incidents in a single week?</a:t>
          </a:r>
        </a:p>
        <a:p>
          <a:endParaRPr lang="en-US" sz="1100"/>
        </a:p>
      </xdr:txBody>
    </xdr:sp>
    <xdr:clientData/>
  </xdr:twoCellAnchor>
  <xdr:twoCellAnchor>
    <xdr:from>
      <xdr:col>5</xdr:col>
      <xdr:colOff>6350</xdr:colOff>
      <xdr:row>4</xdr:row>
      <xdr:rowOff>0</xdr:rowOff>
    </xdr:from>
    <xdr:to>
      <xdr:col>9</xdr:col>
      <xdr:colOff>241300</xdr:colOff>
      <xdr:row>16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CC4E3B-985A-1C56-6AB1-6D76AF302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17</xdr:row>
      <xdr:rowOff>6350</xdr:rowOff>
    </xdr:from>
    <xdr:to>
      <xdr:col>10</xdr:col>
      <xdr:colOff>450850</xdr:colOff>
      <xdr:row>30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F4A5E6-8923-ED8E-68B0-479C02865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38100</xdr:rowOff>
    </xdr:from>
    <xdr:to>
      <xdr:col>5</xdr:col>
      <xdr:colOff>698500</xdr:colOff>
      <xdr:row>3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637E80-F1A3-DA4A-A17E-9BA48EFF0994}"/>
            </a:ext>
          </a:extLst>
        </xdr:cNvPr>
        <xdr:cNvSpPr txBox="1"/>
      </xdr:nvSpPr>
      <xdr:spPr>
        <a:xfrm>
          <a:off x="152400" y="241300"/>
          <a:ext cx="4673600" cy="54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average time between consecutive alerts for each user account, and how does this vary by category or severity?</a:t>
          </a:r>
        </a:p>
      </xdr:txBody>
    </xdr:sp>
    <xdr:clientData/>
  </xdr:twoCellAnchor>
  <xdr:twoCellAnchor>
    <xdr:from>
      <xdr:col>3</xdr:col>
      <xdr:colOff>12700</xdr:colOff>
      <xdr:row>16</xdr:row>
      <xdr:rowOff>6350</xdr:rowOff>
    </xdr:from>
    <xdr:to>
      <xdr:col>5</xdr:col>
      <xdr:colOff>1790700</xdr:colOff>
      <xdr:row>29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EB09E-A066-190B-2C45-EF390450A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38100</xdr:rowOff>
    </xdr:from>
    <xdr:to>
      <xdr:col>6</xdr:col>
      <xdr:colOff>457200</xdr:colOff>
      <xdr:row>3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1744D3-1261-CA49-8894-1849FFFB21F5}"/>
            </a:ext>
          </a:extLst>
        </xdr:cNvPr>
        <xdr:cNvSpPr txBox="1"/>
      </xdr:nvSpPr>
      <xdr:spPr>
        <a:xfrm>
          <a:off x="152400" y="241300"/>
          <a:ext cx="5257800" cy="54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organizations generate the highest volume of unresolved medium-to-high alerts, and what controls can be strengthened there?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1</xdr:row>
      <xdr:rowOff>38100</xdr:rowOff>
    </xdr:from>
    <xdr:to>
      <xdr:col>5</xdr:col>
      <xdr:colOff>1270000</xdr:colOff>
      <xdr:row>3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7698F7-6C03-0E4E-BED0-D4B4A574F91E}"/>
            </a:ext>
          </a:extLst>
        </xdr:cNvPr>
        <xdr:cNvSpPr txBox="1"/>
      </xdr:nvSpPr>
      <xdr:spPr>
        <a:xfrm>
          <a:off x="165100" y="239441"/>
          <a:ext cx="6804412" cy="5423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incidents in the last 3 months involve access attempts outside normal working hours (6PM-6AM), and how often do those lead to escalation?</a:t>
          </a:r>
        </a:p>
      </xdr:txBody>
    </xdr:sp>
    <xdr:clientData/>
  </xdr:twoCellAnchor>
  <xdr:twoCellAnchor>
    <xdr:from>
      <xdr:col>2</xdr:col>
      <xdr:colOff>419100</xdr:colOff>
      <xdr:row>17</xdr:row>
      <xdr:rowOff>6350</xdr:rowOff>
    </xdr:from>
    <xdr:to>
      <xdr:col>6</xdr:col>
      <xdr:colOff>508000</xdr:colOff>
      <xdr:row>31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A99F76-1088-F165-5517-55756158F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165101</xdr:colOff>
      <xdr:row>1</xdr:row>
      <xdr:rowOff>38100</xdr:rowOff>
    </xdr:from>
    <xdr:to>
      <xdr:col>3</xdr:col>
      <xdr:colOff>1497463</xdr:colOff>
      <xdr:row>3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88D884-15D7-8D40-B509-EEEEBC1266E7}"/>
            </a:ext>
          </a:extLst>
        </xdr:cNvPr>
        <xdr:cNvSpPr txBox="1"/>
      </xdr:nvSpPr>
      <xdr:spPr>
        <a:xfrm>
          <a:off x="165101" y="246607"/>
          <a:ext cx="5881616" cy="5567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types of attacks are most frequent, and how do their incident severities and resolutions correlate over the last 3 months? 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546100</xdr:colOff>
      <xdr:row>1</xdr:row>
      <xdr:rowOff>38100</xdr:rowOff>
    </xdr:from>
    <xdr:to>
      <xdr:col>6</xdr:col>
      <xdr:colOff>355600</xdr:colOff>
      <xdr:row>3</xdr:row>
      <xdr:rowOff>177800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EED7DAA-B367-4788-BC4F-F5D2DFF23D8F}"/>
            </a:ext>
          </a:extLst>
        </xdr:cNvPr>
        <xdr:cNvSpPr txBox="1"/>
      </xdr:nvSpPr>
      <xdr:spPr>
        <a:xfrm>
          <a:off x="3543300" y="241300"/>
          <a:ext cx="3810000" cy="54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These are accounts with the most</a:t>
          </a:r>
          <a:r>
            <a:rPr lang="en-US" sz="1400" b="1" baseline="0"/>
            <a:t> alerts by consecutive seconds.</a:t>
          </a:r>
          <a:endParaRPr lang="en-US" sz="1400" b="1"/>
        </a:p>
      </xdr:txBody>
    </xdr:sp>
    <xdr:clientData/>
  </xdr:twoCellAnchor>
  <xdr:twoCellAnchor>
    <xdr:from>
      <xdr:col>3</xdr:col>
      <xdr:colOff>520700</xdr:colOff>
      <xdr:row>17</xdr:row>
      <xdr:rowOff>38100</xdr:rowOff>
    </xdr:from>
    <xdr:to>
      <xdr:col>6</xdr:col>
      <xdr:colOff>330200</xdr:colOff>
      <xdr:row>19</xdr:row>
      <xdr:rowOff>177800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6562454-C0FF-454C-A278-BE0E2D74971B}"/>
            </a:ext>
          </a:extLst>
        </xdr:cNvPr>
        <xdr:cNvSpPr txBox="1"/>
      </xdr:nvSpPr>
      <xdr:spPr>
        <a:xfrm>
          <a:off x="3517900" y="3759200"/>
          <a:ext cx="3810000" cy="54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These are organizations with the most</a:t>
          </a:r>
          <a:r>
            <a:rPr lang="en-US" sz="1400" b="1" baseline="0"/>
            <a:t> unresolved medium-high severity alerts.</a:t>
          </a:r>
          <a:endParaRPr lang="en-US" sz="1400" b="1"/>
        </a:p>
      </xdr:txBody>
    </xdr:sp>
    <xdr:clientData/>
  </xdr:twoCellAnchor>
  <xdr:twoCellAnchor>
    <xdr:from>
      <xdr:col>10</xdr:col>
      <xdr:colOff>863600</xdr:colOff>
      <xdr:row>1</xdr:row>
      <xdr:rowOff>38100</xdr:rowOff>
    </xdr:from>
    <xdr:to>
      <xdr:col>13</xdr:col>
      <xdr:colOff>25400</xdr:colOff>
      <xdr:row>3</xdr:row>
      <xdr:rowOff>177800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B190A46-1F03-794F-900C-C7553EE9AB32}"/>
            </a:ext>
          </a:extLst>
        </xdr:cNvPr>
        <xdr:cNvSpPr txBox="1"/>
      </xdr:nvSpPr>
      <xdr:spPr>
        <a:xfrm>
          <a:off x="11239500" y="241300"/>
          <a:ext cx="2768600" cy="54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The </a:t>
          </a:r>
          <a:r>
            <a:rPr lang="en-US" sz="1400" b="1" baseline="0"/>
            <a:t>highest organization count by specific accounts.</a:t>
          </a:r>
          <a:endParaRPr lang="en-US" sz="1400" b="1"/>
        </a:p>
      </xdr:txBody>
    </xdr:sp>
    <xdr:clientData/>
  </xdr:twoCellAnchor>
  <xdr:twoCellAnchor>
    <xdr:from>
      <xdr:col>10</xdr:col>
      <xdr:colOff>863600</xdr:colOff>
      <xdr:row>17</xdr:row>
      <xdr:rowOff>38100</xdr:rowOff>
    </xdr:from>
    <xdr:to>
      <xdr:col>13</xdr:col>
      <xdr:colOff>25400</xdr:colOff>
      <xdr:row>19</xdr:row>
      <xdr:rowOff>177800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021AA0C-8869-C749-AABE-C45F78239C65}"/>
            </a:ext>
          </a:extLst>
        </xdr:cNvPr>
        <xdr:cNvSpPr txBox="1"/>
      </xdr:nvSpPr>
      <xdr:spPr>
        <a:xfrm>
          <a:off x="11239500" y="3759200"/>
          <a:ext cx="2768600" cy="54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The </a:t>
          </a:r>
          <a:r>
            <a:rPr lang="en-US" sz="1400" b="1" baseline="0"/>
            <a:t>highest account triggers by organization.</a:t>
          </a:r>
          <a:endParaRPr lang="en-US" sz="14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faridynmte@gmail.com" id="{CF75747C-E1C8-F345-98BC-6F5AEA70390B}" userId="0dae03e66dba498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" dT="2025-07-04T05:31:48.14" personId="{CF75747C-E1C8-F345-98BC-6F5AEA70390B}" id="{365AF8C7-7833-574E-88A4-A3F7B178A1B0}">
    <text>May be completely wrong, need to double check. Weirdly disconnected from rest of data. Remember to try to search for Exfiltration.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AEB3-23B3-4C43-88AB-92C52ADB4851}">
  <dimension ref="A1:G23"/>
  <sheetViews>
    <sheetView workbookViewId="0">
      <selection activeCell="E1" sqref="E1:G17"/>
    </sheetView>
  </sheetViews>
  <sheetFormatPr baseColWidth="10" defaultRowHeight="16" x14ac:dyDescent="0.2"/>
  <cols>
    <col min="1" max="1" width="20.6640625" customWidth="1"/>
    <col min="3" max="3" width="25.33203125" customWidth="1"/>
    <col min="5" max="5" width="16.33203125" customWidth="1"/>
    <col min="6" max="6" width="23.83203125" customWidth="1"/>
    <col min="7" max="7" width="27.1640625" customWidth="1"/>
  </cols>
  <sheetData>
    <row r="1" spans="1:7" x14ac:dyDescent="0.2">
      <c r="A1" s="1" t="s">
        <v>87</v>
      </c>
      <c r="C1" s="1" t="s">
        <v>20</v>
      </c>
      <c r="D1" s="1"/>
      <c r="E1" s="1" t="s">
        <v>6</v>
      </c>
      <c r="F1" s="1" t="s">
        <v>96</v>
      </c>
      <c r="G1" s="1" t="s">
        <v>99</v>
      </c>
    </row>
    <row r="2" spans="1:7" x14ac:dyDescent="0.2">
      <c r="A2" t="s">
        <v>2</v>
      </c>
      <c r="C2" s="2" t="s">
        <v>72</v>
      </c>
      <c r="D2" s="2"/>
      <c r="E2" s="2" t="s">
        <v>33</v>
      </c>
      <c r="F2" s="2" t="s">
        <v>90</v>
      </c>
      <c r="G2" s="2" t="s">
        <v>100</v>
      </c>
    </row>
    <row r="3" spans="1:7" x14ac:dyDescent="0.2">
      <c r="A3" t="s">
        <v>3</v>
      </c>
      <c r="C3" s="2" t="s">
        <v>73</v>
      </c>
      <c r="D3" s="2"/>
      <c r="E3" s="2" t="s">
        <v>14</v>
      </c>
      <c r="F3" s="2" t="s">
        <v>91</v>
      </c>
      <c r="G3" s="2" t="s">
        <v>101</v>
      </c>
    </row>
    <row r="4" spans="1:7" ht="32" customHeight="1" x14ac:dyDescent="0.2">
      <c r="A4" t="s">
        <v>4</v>
      </c>
      <c r="C4" s="2" t="s">
        <v>74</v>
      </c>
      <c r="D4" s="2"/>
      <c r="E4" s="2" t="s">
        <v>4</v>
      </c>
      <c r="F4" s="2" t="s">
        <v>92</v>
      </c>
      <c r="G4" s="5" t="s">
        <v>103</v>
      </c>
    </row>
    <row r="5" spans="1:7" x14ac:dyDescent="0.2">
      <c r="A5" t="s">
        <v>5</v>
      </c>
      <c r="C5" s="2" t="s">
        <v>75</v>
      </c>
      <c r="D5" s="2"/>
      <c r="E5" s="2" t="s">
        <v>3</v>
      </c>
      <c r="F5" s="2" t="s">
        <v>89</v>
      </c>
      <c r="G5" s="2" t="s">
        <v>102</v>
      </c>
    </row>
    <row r="6" spans="1:7" ht="33" customHeight="1" x14ac:dyDescent="0.2">
      <c r="A6" t="s">
        <v>8</v>
      </c>
      <c r="C6" s="2"/>
      <c r="D6" s="2"/>
      <c r="E6" s="2" t="s">
        <v>2</v>
      </c>
      <c r="F6" s="5" t="s">
        <v>93</v>
      </c>
    </row>
    <row r="7" spans="1:7" x14ac:dyDescent="0.2">
      <c r="A7" t="s">
        <v>10</v>
      </c>
      <c r="C7" s="1" t="s">
        <v>86</v>
      </c>
      <c r="D7" s="2"/>
      <c r="E7" s="2" t="s">
        <v>12</v>
      </c>
      <c r="F7" s="2" t="s">
        <v>94</v>
      </c>
      <c r="G7" s="2" t="s">
        <v>104</v>
      </c>
    </row>
    <row r="8" spans="1:7" x14ac:dyDescent="0.2">
      <c r="A8" t="s">
        <v>11</v>
      </c>
      <c r="C8" s="2" t="s">
        <v>76</v>
      </c>
      <c r="D8" s="2"/>
      <c r="E8" s="2" t="s">
        <v>57</v>
      </c>
      <c r="F8" s="2" t="s">
        <v>95</v>
      </c>
      <c r="G8" s="2" t="s">
        <v>105</v>
      </c>
    </row>
    <row r="9" spans="1:7" x14ac:dyDescent="0.2">
      <c r="A9" t="s">
        <v>12</v>
      </c>
      <c r="C9" s="2" t="s">
        <v>77</v>
      </c>
    </row>
    <row r="10" spans="1:7" x14ac:dyDescent="0.2">
      <c r="A10" t="s">
        <v>13</v>
      </c>
      <c r="C10" s="2" t="s">
        <v>78</v>
      </c>
      <c r="F10" s="1" t="s">
        <v>106</v>
      </c>
      <c r="G10" s="1" t="s">
        <v>99</v>
      </c>
    </row>
    <row r="11" spans="1:7" x14ac:dyDescent="0.2">
      <c r="A11" t="s">
        <v>14</v>
      </c>
      <c r="C11" s="2" t="s">
        <v>79</v>
      </c>
      <c r="F11" t="s">
        <v>107</v>
      </c>
      <c r="G11" t="s">
        <v>114</v>
      </c>
    </row>
    <row r="12" spans="1:7" x14ac:dyDescent="0.2">
      <c r="A12" t="s">
        <v>15</v>
      </c>
      <c r="C12" s="2" t="s">
        <v>80</v>
      </c>
      <c r="F12" t="s">
        <v>108</v>
      </c>
      <c r="G12" t="s">
        <v>115</v>
      </c>
    </row>
    <row r="13" spans="1:7" x14ac:dyDescent="0.2">
      <c r="A13" t="s">
        <v>16</v>
      </c>
      <c r="C13" s="2" t="s">
        <v>81</v>
      </c>
      <c r="F13" t="s">
        <v>109</v>
      </c>
      <c r="G13" t="s">
        <v>116</v>
      </c>
    </row>
    <row r="14" spans="1:7" x14ac:dyDescent="0.2">
      <c r="A14" t="s">
        <v>17</v>
      </c>
      <c r="C14" s="2" t="s">
        <v>82</v>
      </c>
      <c r="F14" t="s">
        <v>110</v>
      </c>
      <c r="G14" t="s">
        <v>117</v>
      </c>
    </row>
    <row r="15" spans="1:7" x14ac:dyDescent="0.2">
      <c r="A15" t="s">
        <v>9</v>
      </c>
      <c r="C15" s="2"/>
      <c r="F15" t="s">
        <v>111</v>
      </c>
      <c r="G15" t="s">
        <v>118</v>
      </c>
    </row>
    <row r="16" spans="1:7" x14ac:dyDescent="0.2">
      <c r="C16" s="1" t="s">
        <v>19</v>
      </c>
      <c r="F16" t="s">
        <v>112</v>
      </c>
      <c r="G16" t="s">
        <v>119</v>
      </c>
    </row>
    <row r="17" spans="1:7" x14ac:dyDescent="0.2">
      <c r="A17" s="1" t="s">
        <v>88</v>
      </c>
      <c r="C17" s="2" t="s">
        <v>83</v>
      </c>
      <c r="F17" t="s">
        <v>113</v>
      </c>
      <c r="G17" t="s">
        <v>120</v>
      </c>
    </row>
    <row r="18" spans="1:7" x14ac:dyDescent="0.2">
      <c r="A18" s="2" t="s">
        <v>69</v>
      </c>
      <c r="C18" s="2" t="s">
        <v>84</v>
      </c>
    </row>
    <row r="19" spans="1:7" x14ac:dyDescent="0.2">
      <c r="A19" s="2" t="s">
        <v>33</v>
      </c>
      <c r="C19" s="2" t="s">
        <v>85</v>
      </c>
    </row>
    <row r="20" spans="1:7" x14ac:dyDescent="0.2">
      <c r="A20" s="2" t="s">
        <v>70</v>
      </c>
    </row>
    <row r="21" spans="1:7" x14ac:dyDescent="0.2">
      <c r="A21" s="2" t="s">
        <v>71</v>
      </c>
    </row>
    <row r="22" spans="1:7" x14ac:dyDescent="0.2">
      <c r="A22" s="2" t="s">
        <v>58</v>
      </c>
    </row>
    <row r="23" spans="1:7" x14ac:dyDescent="0.2">
      <c r="A23" s="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92F9-2993-6049-8CCC-EA0AA61C3DB5}">
  <dimension ref="A5:G33"/>
  <sheetViews>
    <sheetView zoomScale="92" workbookViewId="0">
      <selection activeCell="A7" sqref="A7"/>
    </sheetView>
  </sheetViews>
  <sheetFormatPr baseColWidth="10" defaultRowHeight="16" x14ac:dyDescent="0.2"/>
  <cols>
    <col min="1" max="1" width="11.1640625" style="2" customWidth="1"/>
    <col min="2" max="2" width="23.33203125" style="2" customWidth="1"/>
    <col min="3" max="3" width="18.83203125" style="2" customWidth="1"/>
    <col min="4" max="4" width="21.1640625" style="2" customWidth="1"/>
    <col min="5" max="5" width="10.83203125" style="2" customWidth="1"/>
    <col min="6" max="16384" width="10.83203125" style="2"/>
  </cols>
  <sheetData>
    <row r="5" spans="1:7" ht="17" thickBot="1" x14ac:dyDescent="0.25"/>
    <row r="6" spans="1:7" x14ac:dyDescent="0.2">
      <c r="A6" s="14" t="s">
        <v>0</v>
      </c>
      <c r="B6" s="15" t="s">
        <v>1</v>
      </c>
      <c r="E6"/>
      <c r="F6"/>
      <c r="G6"/>
    </row>
    <row r="7" spans="1:7" x14ac:dyDescent="0.2">
      <c r="A7" s="39">
        <v>673934</v>
      </c>
      <c r="B7" s="24">
        <v>217265</v>
      </c>
      <c r="D7" s="3"/>
      <c r="E7"/>
      <c r="F7"/>
      <c r="G7"/>
    </row>
    <row r="8" spans="1:7" x14ac:dyDescent="0.2">
      <c r="A8" s="40">
        <v>30</v>
      </c>
      <c r="B8" s="25">
        <v>1916</v>
      </c>
      <c r="E8"/>
      <c r="F8"/>
      <c r="G8"/>
    </row>
    <row r="9" spans="1:7" x14ac:dyDescent="0.2">
      <c r="A9" s="38">
        <v>41</v>
      </c>
      <c r="B9" s="26">
        <v>944</v>
      </c>
      <c r="E9"/>
      <c r="F9"/>
      <c r="G9"/>
    </row>
    <row r="10" spans="1:7" ht="17" thickBot="1" x14ac:dyDescent="0.25">
      <c r="E10"/>
      <c r="F10"/>
      <c r="G10"/>
    </row>
    <row r="11" spans="1:7" x14ac:dyDescent="0.2">
      <c r="A11" s="11" t="s">
        <v>0</v>
      </c>
      <c r="B11" s="12" t="s">
        <v>6</v>
      </c>
      <c r="C11" s="12" t="s">
        <v>7</v>
      </c>
      <c r="D11" s="13" t="s">
        <v>123</v>
      </c>
      <c r="E11"/>
      <c r="F11"/>
      <c r="G11"/>
    </row>
    <row r="12" spans="1:7" x14ac:dyDescent="0.2">
      <c r="A12" s="9">
        <v>673934</v>
      </c>
      <c r="B12" s="17" t="s">
        <v>9</v>
      </c>
      <c r="C12" s="17">
        <v>114826</v>
      </c>
      <c r="D12" s="18">
        <f>C12/B7</f>
        <v>0.52850666237083743</v>
      </c>
      <c r="E12"/>
      <c r="F12"/>
      <c r="G12"/>
    </row>
    <row r="13" spans="1:7" x14ac:dyDescent="0.2">
      <c r="B13" s="19" t="s">
        <v>5</v>
      </c>
      <c r="C13" s="2">
        <v>33568</v>
      </c>
      <c r="D13" s="20">
        <f>C13/B7</f>
        <v>0.15450256599084067</v>
      </c>
      <c r="E13"/>
      <c r="F13"/>
      <c r="G13"/>
    </row>
    <row r="14" spans="1:7" x14ac:dyDescent="0.2">
      <c r="B14" s="21" t="s">
        <v>4</v>
      </c>
      <c r="C14" s="22">
        <v>19450</v>
      </c>
      <c r="D14" s="23">
        <f>C14/B7</f>
        <v>8.9522012289139988E-2</v>
      </c>
      <c r="E14"/>
      <c r="F14"/>
      <c r="G14"/>
    </row>
    <row r="15" spans="1:7" x14ac:dyDescent="0.2">
      <c r="C15" s="3"/>
      <c r="E15"/>
      <c r="F15"/>
      <c r="G15"/>
    </row>
    <row r="16" spans="1:7" ht="17" thickBot="1" x14ac:dyDescent="0.25">
      <c r="A16" s="1"/>
      <c r="B16" s="1"/>
      <c r="C16" s="1"/>
      <c r="E16"/>
      <c r="F16"/>
      <c r="G16"/>
    </row>
    <row r="17" spans="1:7" x14ac:dyDescent="0.2">
      <c r="A17" s="11" t="s">
        <v>0</v>
      </c>
      <c r="B17" s="12" t="s">
        <v>6</v>
      </c>
      <c r="C17" s="13" t="s">
        <v>7</v>
      </c>
      <c r="E17"/>
      <c r="F17"/>
      <c r="G17"/>
    </row>
    <row r="18" spans="1:7" x14ac:dyDescent="0.2">
      <c r="A18" s="9">
        <v>30</v>
      </c>
      <c r="B18" s="27" t="s">
        <v>11</v>
      </c>
      <c r="C18" s="28">
        <v>1914</v>
      </c>
      <c r="E18"/>
      <c r="F18"/>
      <c r="G18"/>
    </row>
    <row r="19" spans="1:7" x14ac:dyDescent="0.2">
      <c r="C19" s="3"/>
      <c r="E19"/>
      <c r="F19"/>
      <c r="G19"/>
    </row>
    <row r="20" spans="1:7" ht="17" thickBot="1" x14ac:dyDescent="0.25">
      <c r="A20" s="1"/>
      <c r="B20" s="1"/>
      <c r="C20" s="1"/>
      <c r="E20"/>
      <c r="F20"/>
      <c r="G20"/>
    </row>
    <row r="21" spans="1:7" x14ac:dyDescent="0.2">
      <c r="A21" s="11" t="s">
        <v>0</v>
      </c>
      <c r="B21" s="12" t="s">
        <v>6</v>
      </c>
      <c r="C21" s="13" t="s">
        <v>7</v>
      </c>
      <c r="E21"/>
      <c r="F21"/>
      <c r="G21"/>
    </row>
    <row r="22" spans="1:7" x14ac:dyDescent="0.2">
      <c r="A22" s="9">
        <v>41</v>
      </c>
      <c r="B22" s="27" t="s">
        <v>9</v>
      </c>
      <c r="C22" s="28">
        <v>944</v>
      </c>
      <c r="E22"/>
      <c r="F22"/>
      <c r="G22"/>
    </row>
    <row r="23" spans="1:7" ht="17" thickBot="1" x14ac:dyDescent="0.25">
      <c r="C23" s="3"/>
      <c r="E23"/>
      <c r="F23"/>
      <c r="G23"/>
    </row>
    <row r="24" spans="1:7" x14ac:dyDescent="0.2">
      <c r="A24" s="11" t="s">
        <v>0</v>
      </c>
      <c r="B24" s="13" t="s">
        <v>62</v>
      </c>
      <c r="E24"/>
      <c r="F24"/>
      <c r="G24"/>
    </row>
    <row r="25" spans="1:7" x14ac:dyDescent="0.2">
      <c r="A25" s="39">
        <v>673934</v>
      </c>
      <c r="B25" s="18">
        <f>(C12+C13+C14)/B7</f>
        <v>0.77253124065081813</v>
      </c>
      <c r="E25"/>
      <c r="F25"/>
      <c r="G25"/>
    </row>
    <row r="26" spans="1:7" x14ac:dyDescent="0.2">
      <c r="A26" s="40">
        <v>30</v>
      </c>
      <c r="B26" s="20">
        <f>C18/B8</f>
        <v>0.9989561586638831</v>
      </c>
      <c r="E26"/>
      <c r="F26"/>
      <c r="G26"/>
    </row>
    <row r="27" spans="1:7" x14ac:dyDescent="0.2">
      <c r="A27" s="38">
        <v>41</v>
      </c>
      <c r="B27" s="23">
        <f>C22/B9</f>
        <v>1</v>
      </c>
      <c r="E27"/>
      <c r="F27"/>
      <c r="G27"/>
    </row>
    <row r="28" spans="1:7" x14ac:dyDescent="0.2">
      <c r="E28"/>
      <c r="F28"/>
      <c r="G28"/>
    </row>
    <row r="29" spans="1:7" x14ac:dyDescent="0.2">
      <c r="E29"/>
    </row>
    <row r="30" spans="1:7" x14ac:dyDescent="0.2">
      <c r="E30"/>
    </row>
    <row r="31" spans="1:7" x14ac:dyDescent="0.2">
      <c r="E31"/>
    </row>
    <row r="32" spans="1:7" x14ac:dyDescent="0.2">
      <c r="E32"/>
    </row>
    <row r="33" spans="5:5" x14ac:dyDescent="0.2">
      <c r="E33"/>
    </row>
  </sheetData>
  <pageMargins left="0.75" right="0.75" top="1" bottom="1" header="0.5" footer="0.5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6F2C-B0AA-1A40-85CE-1F4CD6F2DF89}">
  <dimension ref="A5:I28"/>
  <sheetViews>
    <sheetView zoomScale="93" workbookViewId="0">
      <selection activeCell="I26" sqref="I26"/>
    </sheetView>
  </sheetViews>
  <sheetFormatPr baseColWidth="10" defaultRowHeight="16" x14ac:dyDescent="0.2"/>
  <cols>
    <col min="1" max="1" width="18.83203125" style="2" customWidth="1"/>
    <col min="2" max="2" width="11.5" style="2" customWidth="1"/>
    <col min="3" max="3" width="10.83203125" style="2" customWidth="1"/>
    <col min="4" max="4" width="25.83203125" style="2" customWidth="1"/>
    <col min="5" max="5" width="10.83203125" style="2"/>
    <col min="6" max="6" width="24.83203125" style="2" customWidth="1"/>
    <col min="7" max="7" width="11.6640625" style="2" customWidth="1"/>
    <col min="8" max="8" width="11" style="2" customWidth="1"/>
    <col min="9" max="9" width="25.6640625" style="2" customWidth="1"/>
    <col min="10" max="16384" width="10.83203125" style="2"/>
  </cols>
  <sheetData>
    <row r="5" spans="1:9" ht="17" thickBot="1" x14ac:dyDescent="0.25"/>
    <row r="6" spans="1:9" ht="17" thickBot="1" x14ac:dyDescent="0.25">
      <c r="A6" s="37" t="s">
        <v>60</v>
      </c>
      <c r="F6" s="37" t="s">
        <v>61</v>
      </c>
    </row>
    <row r="7" spans="1:9" x14ac:dyDescent="0.2">
      <c r="A7" s="14" t="s">
        <v>0</v>
      </c>
      <c r="B7" s="30" t="s">
        <v>6</v>
      </c>
      <c r="C7" s="30" t="s">
        <v>48</v>
      </c>
      <c r="D7" s="15" t="s">
        <v>49</v>
      </c>
      <c r="F7" s="14" t="s">
        <v>0</v>
      </c>
      <c r="G7" s="30" t="s">
        <v>6</v>
      </c>
      <c r="H7" s="30" t="s">
        <v>48</v>
      </c>
      <c r="I7" s="15" t="s">
        <v>49</v>
      </c>
    </row>
    <row r="8" spans="1:9" x14ac:dyDescent="0.2">
      <c r="A8" s="39">
        <v>673934</v>
      </c>
      <c r="B8" s="17" t="s">
        <v>3</v>
      </c>
      <c r="C8" s="17">
        <v>369009581</v>
      </c>
      <c r="D8" s="32">
        <v>6.6535833568331596E-3</v>
      </c>
      <c r="F8" s="39">
        <v>673934</v>
      </c>
      <c r="G8" s="17" t="s">
        <v>3</v>
      </c>
      <c r="H8" s="17">
        <v>369009581</v>
      </c>
      <c r="I8" s="32">
        <v>6.6535833568331596E-3</v>
      </c>
    </row>
    <row r="9" spans="1:9" x14ac:dyDescent="0.2">
      <c r="A9" s="40">
        <v>673934</v>
      </c>
      <c r="B9" s="2" t="s">
        <v>14</v>
      </c>
      <c r="C9" s="2">
        <v>163878463</v>
      </c>
      <c r="D9" s="33">
        <v>4.8159678237643999E-2</v>
      </c>
      <c r="F9" s="40">
        <v>673934</v>
      </c>
      <c r="G9" s="2" t="s">
        <v>4</v>
      </c>
      <c r="H9" s="2">
        <v>20805025</v>
      </c>
      <c r="I9" s="33">
        <v>0.13994091042625101</v>
      </c>
    </row>
    <row r="10" spans="1:9" x14ac:dyDescent="0.2">
      <c r="A10" s="38">
        <v>673934</v>
      </c>
      <c r="B10" s="22" t="s">
        <v>33</v>
      </c>
      <c r="C10" s="22">
        <v>118562475</v>
      </c>
      <c r="D10" s="34">
        <v>6.5964100917799695E-2</v>
      </c>
      <c r="F10" s="38">
        <v>673934</v>
      </c>
      <c r="G10" s="22" t="s">
        <v>2</v>
      </c>
      <c r="H10" s="22">
        <v>283457</v>
      </c>
      <c r="I10" s="34">
        <v>4.5506075016933902</v>
      </c>
    </row>
    <row r="11" spans="1:9" ht="17" thickBot="1" x14ac:dyDescent="0.25"/>
    <row r="12" spans="1:9" x14ac:dyDescent="0.2">
      <c r="A12" s="14" t="s">
        <v>0</v>
      </c>
      <c r="B12" s="30" t="s">
        <v>6</v>
      </c>
      <c r="C12" s="30" t="s">
        <v>48</v>
      </c>
      <c r="D12" s="15" t="s">
        <v>49</v>
      </c>
      <c r="F12" s="14" t="s">
        <v>0</v>
      </c>
      <c r="G12" s="30" t="s">
        <v>6</v>
      </c>
      <c r="H12" s="30" t="s">
        <v>48</v>
      </c>
      <c r="I12" s="15" t="s">
        <v>49</v>
      </c>
    </row>
    <row r="13" spans="1:9" x14ac:dyDescent="0.2">
      <c r="A13" s="39">
        <v>1</v>
      </c>
      <c r="B13" s="17" t="s">
        <v>14</v>
      </c>
      <c r="C13" s="17">
        <v>73970</v>
      </c>
      <c r="D13" s="32">
        <v>6.6008733388311098</v>
      </c>
      <c r="F13" s="39">
        <v>4</v>
      </c>
      <c r="G13" s="17" t="s">
        <v>4</v>
      </c>
      <c r="H13" s="17">
        <v>59329</v>
      </c>
      <c r="I13" s="32">
        <v>20.667526294498298</v>
      </c>
    </row>
    <row r="14" spans="1:9" x14ac:dyDescent="0.2">
      <c r="A14" s="40">
        <v>19</v>
      </c>
      <c r="B14" s="2" t="s">
        <v>14</v>
      </c>
      <c r="C14" s="2">
        <v>59515</v>
      </c>
      <c r="D14" s="33">
        <v>15.1550727559903</v>
      </c>
      <c r="F14" s="40">
        <v>5</v>
      </c>
      <c r="G14" s="2" t="s">
        <v>4</v>
      </c>
      <c r="H14" s="2">
        <v>57177</v>
      </c>
      <c r="I14" s="33">
        <v>21.445414159787401</v>
      </c>
    </row>
    <row r="15" spans="1:9" x14ac:dyDescent="0.2">
      <c r="A15" s="38">
        <v>3</v>
      </c>
      <c r="B15" s="22" t="s">
        <v>14</v>
      </c>
      <c r="C15" s="22">
        <v>49099</v>
      </c>
      <c r="D15" s="34">
        <v>9.9446005947289198</v>
      </c>
      <c r="F15" s="38">
        <v>6</v>
      </c>
      <c r="G15" s="22" t="s">
        <v>4</v>
      </c>
      <c r="H15" s="22">
        <v>54897</v>
      </c>
      <c r="I15" s="34">
        <v>22.3361082774701</v>
      </c>
    </row>
    <row r="16" spans="1:9" ht="17" thickBot="1" x14ac:dyDescent="0.25"/>
    <row r="17" spans="1:3" x14ac:dyDescent="0.2">
      <c r="A17" s="14" t="s">
        <v>121</v>
      </c>
      <c r="B17" s="31" t="s">
        <v>122</v>
      </c>
      <c r="C17" s="6"/>
    </row>
    <row r="18" spans="1:3" x14ac:dyDescent="0.2">
      <c r="A18" s="39" t="s">
        <v>3</v>
      </c>
      <c r="B18" s="32">
        <v>6.6535833568331596E-3</v>
      </c>
      <c r="C18" s="4"/>
    </row>
    <row r="19" spans="1:3" x14ac:dyDescent="0.2">
      <c r="A19" s="40" t="s">
        <v>4</v>
      </c>
      <c r="B19" s="33">
        <v>0.13994091042625101</v>
      </c>
      <c r="C19" s="4"/>
    </row>
    <row r="20" spans="1:3" x14ac:dyDescent="0.2">
      <c r="A20" s="40" t="s">
        <v>2</v>
      </c>
      <c r="B20" s="33">
        <v>4.5506075016933902</v>
      </c>
      <c r="C20" s="4"/>
    </row>
    <row r="21" spans="1:3" x14ac:dyDescent="0.2">
      <c r="A21" s="40" t="s">
        <v>14</v>
      </c>
      <c r="B21" s="33">
        <v>4.8159678237643999E-2</v>
      </c>
      <c r="C21" s="4"/>
    </row>
    <row r="22" spans="1:3" x14ac:dyDescent="0.2">
      <c r="A22" s="38" t="s">
        <v>33</v>
      </c>
      <c r="B22" s="34">
        <v>6.5964100917799695E-2</v>
      </c>
      <c r="C22" s="4"/>
    </row>
    <row r="23" spans="1:3" ht="17" thickBot="1" x14ac:dyDescent="0.25">
      <c r="C23" s="4"/>
    </row>
    <row r="24" spans="1:3" x14ac:dyDescent="0.2">
      <c r="A24" s="29" t="s">
        <v>124</v>
      </c>
      <c r="C24" s="4"/>
    </row>
    <row r="25" spans="1:3" x14ac:dyDescent="0.2">
      <c r="A25" s="10">
        <f>C13/C10</f>
        <v>6.2389048474232678E-4</v>
      </c>
    </row>
    <row r="26" spans="1:3" ht="17" thickBot="1" x14ac:dyDescent="0.25"/>
    <row r="27" spans="1:3" x14ac:dyDescent="0.2">
      <c r="A27" s="14" t="s">
        <v>125</v>
      </c>
      <c r="B27" s="15" t="s">
        <v>126</v>
      </c>
    </row>
    <row r="28" spans="1:3" x14ac:dyDescent="0.2">
      <c r="A28" s="35">
        <f>(D13+D14+D15)/3</f>
        <v>10.566848896516776</v>
      </c>
      <c r="B28" s="36">
        <f>(I13+I14+I15)/3</f>
        <v>21.483016243918598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5D93C-4D04-9A4B-A21E-20E8F91A1BB6}">
  <dimension ref="A5:C23"/>
  <sheetViews>
    <sheetView workbookViewId="0">
      <selection activeCell="A21" sqref="A21"/>
    </sheetView>
  </sheetViews>
  <sheetFormatPr baseColWidth="10" defaultRowHeight="16" x14ac:dyDescent="0.2"/>
  <cols>
    <col min="1" max="1" width="7.33203125" style="2" customWidth="1"/>
    <col min="2" max="2" width="20.83203125" style="2" customWidth="1"/>
    <col min="3" max="3" width="16" style="2" customWidth="1"/>
    <col min="4" max="4" width="15" style="2" customWidth="1"/>
    <col min="5" max="5" width="15.5" style="2" customWidth="1"/>
    <col min="6" max="16384" width="10.83203125" style="2"/>
  </cols>
  <sheetData>
    <row r="5" spans="1:3" ht="17" thickBot="1" x14ac:dyDescent="0.25"/>
    <row r="6" spans="1:3" x14ac:dyDescent="0.2">
      <c r="A6" s="57" t="s">
        <v>44</v>
      </c>
      <c r="B6" s="59" t="s">
        <v>47</v>
      </c>
    </row>
    <row r="7" spans="1:3" x14ac:dyDescent="0.2">
      <c r="A7" s="40">
        <v>738</v>
      </c>
      <c r="B7" s="25">
        <v>6253</v>
      </c>
    </row>
    <row r="8" spans="1:3" x14ac:dyDescent="0.2">
      <c r="A8" s="40">
        <v>73</v>
      </c>
      <c r="B8" s="25">
        <v>853</v>
      </c>
    </row>
    <row r="9" spans="1:3" x14ac:dyDescent="0.2">
      <c r="A9" s="38">
        <v>116</v>
      </c>
      <c r="B9" s="26">
        <v>832</v>
      </c>
    </row>
    <row r="10" spans="1:3" ht="17" thickBot="1" x14ac:dyDescent="0.25"/>
    <row r="11" spans="1:3" x14ac:dyDescent="0.2">
      <c r="A11" s="57" t="s">
        <v>44</v>
      </c>
      <c r="B11" s="30" t="s">
        <v>6</v>
      </c>
      <c r="C11" s="15" t="s">
        <v>46</v>
      </c>
    </row>
    <row r="12" spans="1:3" x14ac:dyDescent="0.2">
      <c r="A12" s="21">
        <v>738</v>
      </c>
      <c r="B12" s="16" t="s">
        <v>2</v>
      </c>
      <c r="C12" s="24">
        <v>6238</v>
      </c>
    </row>
    <row r="13" spans="1:3" x14ac:dyDescent="0.2">
      <c r="B13" s="21" t="s">
        <v>10</v>
      </c>
      <c r="C13" s="26">
        <v>15</v>
      </c>
    </row>
    <row r="14" spans="1:3" ht="17" thickBot="1" x14ac:dyDescent="0.25"/>
    <row r="15" spans="1:3" x14ac:dyDescent="0.2">
      <c r="A15" s="57" t="s">
        <v>44</v>
      </c>
      <c r="B15" s="30" t="s">
        <v>6</v>
      </c>
      <c r="C15" s="15" t="s">
        <v>46</v>
      </c>
    </row>
    <row r="16" spans="1:3" x14ac:dyDescent="0.2">
      <c r="A16" s="21">
        <v>73</v>
      </c>
      <c r="B16" s="16" t="s">
        <v>14</v>
      </c>
      <c r="C16" s="24">
        <v>850</v>
      </c>
    </row>
    <row r="17" spans="1:3" x14ac:dyDescent="0.2">
      <c r="B17" s="19" t="s">
        <v>5</v>
      </c>
      <c r="C17" s="25">
        <v>2</v>
      </c>
    </row>
    <row r="18" spans="1:3" x14ac:dyDescent="0.2">
      <c r="B18" s="21" t="s">
        <v>17</v>
      </c>
      <c r="C18" s="26">
        <v>1</v>
      </c>
    </row>
    <row r="19" spans="1:3" ht="17" thickBot="1" x14ac:dyDescent="0.25"/>
    <row r="20" spans="1:3" x14ac:dyDescent="0.2">
      <c r="A20" s="57" t="s">
        <v>44</v>
      </c>
      <c r="B20" s="30" t="s">
        <v>6</v>
      </c>
      <c r="C20" s="15" t="s">
        <v>46</v>
      </c>
    </row>
    <row r="21" spans="1:3" x14ac:dyDescent="0.2">
      <c r="A21" s="21">
        <v>116</v>
      </c>
      <c r="B21" s="16" t="s">
        <v>11</v>
      </c>
      <c r="C21" s="24">
        <v>812</v>
      </c>
    </row>
    <row r="22" spans="1:3" x14ac:dyDescent="0.2">
      <c r="B22" s="19" t="s">
        <v>17</v>
      </c>
      <c r="C22" s="25">
        <v>16</v>
      </c>
    </row>
    <row r="23" spans="1:3" x14ac:dyDescent="0.2">
      <c r="B23" s="21" t="s">
        <v>10</v>
      </c>
      <c r="C23" s="26">
        <v>4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12C8-3F72-D943-B4F5-6B9DF4074767}">
  <dimension ref="A5:L35"/>
  <sheetViews>
    <sheetView zoomScale="82" workbookViewId="0">
      <selection activeCell="H23" sqref="H23"/>
    </sheetView>
  </sheetViews>
  <sheetFormatPr baseColWidth="10" defaultRowHeight="16" x14ac:dyDescent="0.2"/>
  <cols>
    <col min="1" max="1" width="16.6640625" style="2" customWidth="1"/>
    <col min="2" max="2" width="13.83203125" style="2" customWidth="1"/>
    <col min="3" max="3" width="14.33203125" style="2" customWidth="1"/>
    <col min="4" max="4" width="16.5" style="2" customWidth="1"/>
    <col min="5" max="5" width="13.5" style="2" customWidth="1"/>
    <col min="6" max="6" width="18.1640625" style="2" customWidth="1"/>
    <col min="7" max="7" width="17.6640625" style="2" customWidth="1"/>
    <col min="8" max="8" width="15.6640625" style="2" customWidth="1"/>
    <col min="9" max="9" width="19.83203125" style="2" customWidth="1"/>
    <col min="10" max="10" width="18.83203125" style="2" customWidth="1"/>
    <col min="11" max="11" width="19.5" style="2" customWidth="1"/>
    <col min="12" max="12" width="20.5" style="2" customWidth="1"/>
    <col min="13" max="16384" width="10.83203125" style="2"/>
  </cols>
  <sheetData>
    <row r="5" spans="1:12" ht="17" thickBot="1" x14ac:dyDescent="0.25"/>
    <row r="6" spans="1:12" ht="17" thickBot="1" x14ac:dyDescent="0.25">
      <c r="A6" s="41" t="s">
        <v>38</v>
      </c>
      <c r="B6" s="1"/>
      <c r="C6" s="41" t="s">
        <v>40</v>
      </c>
      <c r="D6" s="1"/>
      <c r="E6" s="41" t="s">
        <v>43</v>
      </c>
      <c r="F6" s="1"/>
      <c r="G6" s="1"/>
      <c r="H6" s="1"/>
      <c r="I6" s="41" t="s">
        <v>26</v>
      </c>
      <c r="J6" s="1"/>
      <c r="K6" s="1"/>
      <c r="L6" s="1"/>
    </row>
    <row r="7" spans="1:12" ht="17" thickBot="1" x14ac:dyDescent="0.25">
      <c r="A7" s="43" t="s">
        <v>0</v>
      </c>
      <c r="B7" s="43" t="s">
        <v>39</v>
      </c>
      <c r="C7" s="43" t="s">
        <v>41</v>
      </c>
      <c r="D7" s="45" t="s">
        <v>42</v>
      </c>
      <c r="E7" s="46" t="s">
        <v>34</v>
      </c>
      <c r="F7" s="46" t="s">
        <v>35</v>
      </c>
      <c r="G7" s="46" t="s">
        <v>36</v>
      </c>
      <c r="H7" s="46" t="s">
        <v>37</v>
      </c>
      <c r="I7" s="46" t="s">
        <v>27</v>
      </c>
      <c r="J7" s="47" t="s">
        <v>25</v>
      </c>
      <c r="K7" s="42" t="s">
        <v>22</v>
      </c>
      <c r="L7" s="47" t="s">
        <v>32</v>
      </c>
    </row>
    <row r="8" spans="1:12" x14ac:dyDescent="0.2">
      <c r="A8" s="49">
        <v>673934</v>
      </c>
      <c r="B8" s="2">
        <v>164852229</v>
      </c>
      <c r="C8" s="2">
        <v>993017</v>
      </c>
      <c r="D8" s="2">
        <v>478</v>
      </c>
      <c r="E8" s="2">
        <v>0</v>
      </c>
      <c r="F8" s="2">
        <v>0</v>
      </c>
      <c r="G8" s="2">
        <v>0</v>
      </c>
      <c r="H8" s="2">
        <v>96330275</v>
      </c>
      <c r="I8" s="2">
        <v>986071</v>
      </c>
      <c r="J8" s="25">
        <v>478</v>
      </c>
      <c r="K8" s="19">
        <v>0</v>
      </c>
      <c r="L8" s="25">
        <v>163865607</v>
      </c>
    </row>
    <row r="9" spans="1:12" x14ac:dyDescent="0.2">
      <c r="A9" s="40">
        <v>3</v>
      </c>
      <c r="B9" s="2">
        <v>32425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5">
        <v>12043</v>
      </c>
      <c r="K9" s="19">
        <v>8063</v>
      </c>
      <c r="L9" s="25">
        <v>12319</v>
      </c>
    </row>
    <row r="10" spans="1:12" x14ac:dyDescent="0.2">
      <c r="A10" s="38">
        <v>4</v>
      </c>
      <c r="B10" s="22">
        <v>23201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6">
        <v>0</v>
      </c>
      <c r="K10" s="21">
        <v>0</v>
      </c>
      <c r="L10" s="26">
        <v>23201</v>
      </c>
    </row>
    <row r="11" spans="1:12" ht="17" thickBot="1" x14ac:dyDescent="0.25"/>
    <row r="12" spans="1:12" ht="17" thickBot="1" x14ac:dyDescent="0.25">
      <c r="A12" s="41" t="s">
        <v>45</v>
      </c>
      <c r="B12" s="1"/>
      <c r="C12" s="41" t="s">
        <v>40</v>
      </c>
      <c r="D12" s="1"/>
      <c r="E12" s="41" t="s">
        <v>43</v>
      </c>
      <c r="F12" s="1"/>
      <c r="G12" s="1"/>
      <c r="H12" s="1"/>
      <c r="I12" s="41" t="s">
        <v>26</v>
      </c>
      <c r="J12" s="1"/>
      <c r="K12" s="1"/>
      <c r="L12" s="1"/>
    </row>
    <row r="13" spans="1:12" ht="17" thickBot="1" x14ac:dyDescent="0.25">
      <c r="A13" s="45" t="s">
        <v>44</v>
      </c>
      <c r="B13" s="46" t="s">
        <v>39</v>
      </c>
      <c r="C13" s="46" t="s">
        <v>41</v>
      </c>
      <c r="D13" s="48" t="s">
        <v>42</v>
      </c>
      <c r="E13" s="45" t="s">
        <v>34</v>
      </c>
      <c r="F13" s="46" t="s">
        <v>35</v>
      </c>
      <c r="G13" s="46" t="s">
        <v>36</v>
      </c>
      <c r="H13" s="46" t="s">
        <v>37</v>
      </c>
      <c r="I13" s="46" t="s">
        <v>27</v>
      </c>
      <c r="J13" s="46" t="s">
        <v>25</v>
      </c>
      <c r="K13" s="48" t="s">
        <v>22</v>
      </c>
      <c r="L13" s="47" t="s">
        <v>32</v>
      </c>
    </row>
    <row r="14" spans="1:12" x14ac:dyDescent="0.2">
      <c r="A14" s="40">
        <v>93</v>
      </c>
      <c r="B14" s="19">
        <v>95639321</v>
      </c>
      <c r="C14" s="2">
        <v>120</v>
      </c>
      <c r="D14" s="2">
        <v>0</v>
      </c>
      <c r="E14" s="2">
        <v>0</v>
      </c>
      <c r="F14" s="2">
        <v>0</v>
      </c>
      <c r="G14" s="2">
        <v>0</v>
      </c>
      <c r="H14" s="2">
        <v>95629131</v>
      </c>
      <c r="I14" s="2">
        <v>120</v>
      </c>
      <c r="J14" s="2">
        <v>0</v>
      </c>
      <c r="K14" s="2">
        <v>0</v>
      </c>
      <c r="L14" s="50">
        <v>95639201</v>
      </c>
    </row>
    <row r="15" spans="1:12" x14ac:dyDescent="0.2">
      <c r="A15" s="40">
        <v>4</v>
      </c>
      <c r="B15" s="19">
        <v>50306978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5">
        <v>50306978</v>
      </c>
    </row>
    <row r="16" spans="1:12" x14ac:dyDescent="0.2">
      <c r="A16" s="38">
        <v>33</v>
      </c>
      <c r="B16" s="21">
        <v>2425501</v>
      </c>
      <c r="C16" s="22">
        <v>240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240</v>
      </c>
      <c r="J16" s="22">
        <v>0</v>
      </c>
      <c r="K16" s="22">
        <v>0</v>
      </c>
      <c r="L16" s="26">
        <v>2425261</v>
      </c>
    </row>
    <row r="17" spans="1:6" ht="17" thickBot="1" x14ac:dyDescent="0.25"/>
    <row r="18" spans="1:6" ht="17" thickBot="1" x14ac:dyDescent="0.25">
      <c r="A18" s="7" t="s">
        <v>0</v>
      </c>
      <c r="B18" s="8" t="s">
        <v>64</v>
      </c>
      <c r="C18" s="1"/>
      <c r="D18"/>
      <c r="E18"/>
      <c r="F18"/>
    </row>
    <row r="19" spans="1:6" x14ac:dyDescent="0.2">
      <c r="A19" s="49">
        <v>673934</v>
      </c>
      <c r="B19" s="20">
        <f>L8/B8</f>
        <v>0.99401511277108667</v>
      </c>
      <c r="C19" s="3"/>
      <c r="D19"/>
      <c r="E19"/>
      <c r="F19"/>
    </row>
    <row r="20" spans="1:6" x14ac:dyDescent="0.2">
      <c r="A20" s="40">
        <v>3</v>
      </c>
      <c r="B20" s="20">
        <f>L9/B9</f>
        <v>0.379922898997687</v>
      </c>
      <c r="C20" s="3"/>
      <c r="D20"/>
      <c r="E20"/>
      <c r="F20"/>
    </row>
    <row r="21" spans="1:6" ht="17" thickBot="1" x14ac:dyDescent="0.25">
      <c r="A21" s="40">
        <v>4</v>
      </c>
      <c r="B21" s="20">
        <f>L10/B10</f>
        <v>1</v>
      </c>
      <c r="C21" s="3"/>
      <c r="D21"/>
      <c r="E21"/>
      <c r="F21"/>
    </row>
    <row r="22" spans="1:6" ht="17" thickBot="1" x14ac:dyDescent="0.25">
      <c r="A22" s="7" t="s">
        <v>44</v>
      </c>
      <c r="B22" s="8" t="s">
        <v>64</v>
      </c>
      <c r="D22"/>
      <c r="E22"/>
      <c r="F22"/>
    </row>
    <row r="23" spans="1:6" x14ac:dyDescent="0.2">
      <c r="A23" s="49">
        <v>93</v>
      </c>
      <c r="B23" s="20">
        <f>L14/B14</f>
        <v>0.99999874528594779</v>
      </c>
      <c r="C23" s="1"/>
      <c r="D23"/>
      <c r="E23"/>
      <c r="F23"/>
    </row>
    <row r="24" spans="1:6" x14ac:dyDescent="0.2">
      <c r="A24" s="40">
        <v>4</v>
      </c>
      <c r="B24" s="20">
        <f>L15/B15</f>
        <v>1</v>
      </c>
      <c r="C24" s="3"/>
      <c r="D24"/>
      <c r="E24"/>
      <c r="F24"/>
    </row>
    <row r="25" spans="1:6" x14ac:dyDescent="0.2">
      <c r="A25" s="38">
        <v>33</v>
      </c>
      <c r="B25" s="23">
        <f>L16/B16</f>
        <v>0.99990105137041796</v>
      </c>
      <c r="C25" s="3"/>
      <c r="D25"/>
      <c r="E25"/>
      <c r="F25"/>
    </row>
    <row r="26" spans="1:6" x14ac:dyDescent="0.2">
      <c r="B26" s="3"/>
      <c r="C26" s="3"/>
      <c r="D26"/>
      <c r="E26"/>
      <c r="F26"/>
    </row>
    <row r="27" spans="1:6" x14ac:dyDescent="0.2">
      <c r="D27"/>
      <c r="E27"/>
      <c r="F27"/>
    </row>
    <row r="28" spans="1:6" x14ac:dyDescent="0.2">
      <c r="D28"/>
      <c r="E28"/>
      <c r="F28"/>
    </row>
    <row r="29" spans="1:6" x14ac:dyDescent="0.2">
      <c r="D29"/>
      <c r="E29"/>
      <c r="F29"/>
    </row>
    <row r="30" spans="1:6" x14ac:dyDescent="0.2">
      <c r="D30"/>
      <c r="E30"/>
      <c r="F30"/>
    </row>
    <row r="31" spans="1:6" x14ac:dyDescent="0.2">
      <c r="D31"/>
      <c r="E31"/>
      <c r="F31"/>
    </row>
    <row r="32" spans="1:6" x14ac:dyDescent="0.2">
      <c r="D32"/>
      <c r="E32"/>
      <c r="F32"/>
    </row>
    <row r="33" spans="4:6" x14ac:dyDescent="0.2">
      <c r="D33"/>
      <c r="E33"/>
      <c r="F33"/>
    </row>
    <row r="34" spans="4:6" x14ac:dyDescent="0.2">
      <c r="D34"/>
      <c r="E34"/>
      <c r="F34"/>
    </row>
    <row r="35" spans="4:6" x14ac:dyDescent="0.2">
      <c r="D35"/>
      <c r="E35"/>
      <c r="F35"/>
    </row>
  </sheetData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4FAF-6648-EB44-AD95-DDFDE053061E}">
  <dimension ref="A5:N36"/>
  <sheetViews>
    <sheetView zoomScale="67" zoomScaleNormal="71" workbookViewId="0">
      <selection activeCell="G34" sqref="G34"/>
    </sheetView>
  </sheetViews>
  <sheetFormatPr baseColWidth="10" defaultRowHeight="16" x14ac:dyDescent="0.2"/>
  <cols>
    <col min="1" max="1" width="21.5" style="2" customWidth="1"/>
    <col min="2" max="2" width="19" style="2" customWidth="1"/>
    <col min="3" max="3" width="19.33203125" style="2" customWidth="1"/>
    <col min="4" max="4" width="20.33203125" style="2" customWidth="1"/>
    <col min="5" max="5" width="14.5" style="2" customWidth="1"/>
    <col min="6" max="6" width="14.83203125" style="2" customWidth="1"/>
    <col min="7" max="7" width="17.1640625" style="2" customWidth="1"/>
    <col min="8" max="8" width="18.83203125" style="2" customWidth="1"/>
    <col min="9" max="9" width="19.1640625" style="2" customWidth="1"/>
    <col min="10" max="10" width="16" style="2" customWidth="1"/>
    <col min="11" max="11" width="16.33203125" style="2" customWidth="1"/>
    <col min="12" max="12" width="18" style="2" customWidth="1"/>
    <col min="13" max="13" width="16.1640625" style="2" customWidth="1"/>
    <col min="14" max="14" width="18.5" style="2" customWidth="1"/>
    <col min="15" max="16384" width="10.83203125" style="2"/>
  </cols>
  <sheetData>
    <row r="5" spans="1:14" ht="17" thickBot="1" x14ac:dyDescent="0.25"/>
    <row r="6" spans="1:14" ht="17" thickBot="1" x14ac:dyDescent="0.25">
      <c r="A6" s="41" t="s">
        <v>51</v>
      </c>
      <c r="B6" s="1"/>
      <c r="C6" s="1"/>
      <c r="D6" s="41" t="s">
        <v>23</v>
      </c>
      <c r="E6" s="1"/>
      <c r="F6" s="1"/>
      <c r="G6" s="1"/>
      <c r="H6" s="41" t="s">
        <v>24</v>
      </c>
      <c r="I6" s="1"/>
      <c r="J6" s="1"/>
      <c r="K6" s="41" t="s">
        <v>26</v>
      </c>
      <c r="L6" s="1"/>
      <c r="M6" s="1"/>
      <c r="N6" s="1"/>
    </row>
    <row r="7" spans="1:14" x14ac:dyDescent="0.2">
      <c r="A7" s="54" t="s">
        <v>6</v>
      </c>
      <c r="B7" s="55" t="s">
        <v>18</v>
      </c>
      <c r="C7" s="55" t="s">
        <v>52</v>
      </c>
      <c r="D7" s="55" t="s">
        <v>28</v>
      </c>
      <c r="E7" s="55" t="s">
        <v>29</v>
      </c>
      <c r="F7" s="55" t="s">
        <v>30</v>
      </c>
      <c r="G7" s="55" t="s">
        <v>31</v>
      </c>
      <c r="H7" s="55" t="s">
        <v>19</v>
      </c>
      <c r="I7" s="55" t="s">
        <v>20</v>
      </c>
      <c r="J7" s="55" t="s">
        <v>21</v>
      </c>
      <c r="K7" s="55" t="s">
        <v>53</v>
      </c>
      <c r="L7" s="55" t="s">
        <v>54</v>
      </c>
      <c r="M7" s="55" t="s">
        <v>55</v>
      </c>
      <c r="N7" s="56" t="s">
        <v>56</v>
      </c>
    </row>
    <row r="8" spans="1:14" x14ac:dyDescent="0.2">
      <c r="A8" s="40" t="s">
        <v>3</v>
      </c>
      <c r="B8" s="2">
        <v>369024085</v>
      </c>
      <c r="C8" s="2">
        <v>91705</v>
      </c>
      <c r="D8" s="2">
        <v>157719703</v>
      </c>
      <c r="E8" s="2">
        <v>83673377</v>
      </c>
      <c r="F8" s="2">
        <v>127630929</v>
      </c>
      <c r="G8" s="2">
        <v>76</v>
      </c>
      <c r="H8" s="2">
        <v>14</v>
      </c>
      <c r="I8" s="2">
        <v>44</v>
      </c>
      <c r="J8" s="2">
        <v>369023968</v>
      </c>
      <c r="K8" s="2">
        <v>0</v>
      </c>
      <c r="L8" s="2">
        <v>0</v>
      </c>
      <c r="M8" s="2">
        <v>0</v>
      </c>
      <c r="N8" s="25">
        <v>369024085</v>
      </c>
    </row>
    <row r="9" spans="1:14" x14ac:dyDescent="0.2">
      <c r="A9" s="40" t="s">
        <v>14</v>
      </c>
      <c r="B9" s="2">
        <v>173389713</v>
      </c>
      <c r="C9" s="2">
        <v>150505623</v>
      </c>
      <c r="D9" s="2">
        <v>14812296</v>
      </c>
      <c r="E9" s="2">
        <v>132672365</v>
      </c>
      <c r="F9" s="2">
        <v>25872240</v>
      </c>
      <c r="G9" s="2">
        <v>32812</v>
      </c>
      <c r="H9" s="2">
        <v>27635</v>
      </c>
      <c r="I9" s="2">
        <v>1777</v>
      </c>
      <c r="J9" s="2">
        <v>173351050</v>
      </c>
      <c r="K9" s="2">
        <v>4504157</v>
      </c>
      <c r="L9" s="2">
        <v>487012</v>
      </c>
      <c r="M9" s="2">
        <v>4801920</v>
      </c>
      <c r="N9" s="25">
        <v>163596141</v>
      </c>
    </row>
    <row r="10" spans="1:14" x14ac:dyDescent="0.2">
      <c r="A10" s="38" t="s">
        <v>33</v>
      </c>
      <c r="B10" s="22">
        <v>118583898</v>
      </c>
      <c r="C10" s="22">
        <v>118119763</v>
      </c>
      <c r="D10" s="22">
        <v>6810859</v>
      </c>
      <c r="E10" s="22">
        <v>99773264</v>
      </c>
      <c r="F10" s="22">
        <v>11995664</v>
      </c>
      <c r="G10" s="22">
        <v>4111</v>
      </c>
      <c r="H10" s="22">
        <v>2352</v>
      </c>
      <c r="I10" s="22">
        <v>258</v>
      </c>
      <c r="J10" s="22">
        <v>118579644</v>
      </c>
      <c r="K10" s="22">
        <v>624</v>
      </c>
      <c r="L10" s="22">
        <v>231521</v>
      </c>
      <c r="M10" s="22">
        <v>0</v>
      </c>
      <c r="N10" s="26">
        <v>118351753</v>
      </c>
    </row>
    <row r="11" spans="1:14" ht="17" thickBot="1" x14ac:dyDescent="0.25"/>
    <row r="12" spans="1:14" ht="17" thickBot="1" x14ac:dyDescent="0.25">
      <c r="A12" s="41" t="s">
        <v>50</v>
      </c>
      <c r="B12" s="1"/>
      <c r="C12" s="1"/>
      <c r="D12" s="41" t="s">
        <v>23</v>
      </c>
      <c r="E12" s="1"/>
      <c r="F12" s="1"/>
      <c r="G12" s="1"/>
      <c r="H12" s="41" t="s">
        <v>24</v>
      </c>
      <c r="I12" s="1"/>
      <c r="J12" s="1"/>
      <c r="K12" s="41" t="s">
        <v>26</v>
      </c>
      <c r="L12" s="1"/>
      <c r="M12" s="1"/>
      <c r="N12" s="1"/>
    </row>
    <row r="13" spans="1:14" x14ac:dyDescent="0.2">
      <c r="A13" s="54" t="s">
        <v>6</v>
      </c>
      <c r="B13" s="55" t="s">
        <v>18</v>
      </c>
      <c r="C13" s="55" t="s">
        <v>52</v>
      </c>
      <c r="D13" s="55" t="s">
        <v>28</v>
      </c>
      <c r="E13" s="55" t="s">
        <v>29</v>
      </c>
      <c r="F13" s="55" t="s">
        <v>30</v>
      </c>
      <c r="G13" s="55" t="s">
        <v>31</v>
      </c>
      <c r="H13" s="55" t="s">
        <v>19</v>
      </c>
      <c r="I13" s="55" t="s">
        <v>20</v>
      </c>
      <c r="J13" s="55" t="s">
        <v>21</v>
      </c>
      <c r="K13" s="55" t="s">
        <v>53</v>
      </c>
      <c r="L13" s="55" t="s">
        <v>54</v>
      </c>
      <c r="M13" s="55" t="s">
        <v>55</v>
      </c>
      <c r="N13" s="56" t="s">
        <v>56</v>
      </c>
    </row>
    <row r="14" spans="1:14" x14ac:dyDescent="0.2">
      <c r="A14" s="40" t="s">
        <v>3</v>
      </c>
      <c r="B14" s="2">
        <v>369024085</v>
      </c>
      <c r="C14" s="2">
        <v>91705</v>
      </c>
      <c r="D14" s="2">
        <v>157719703</v>
      </c>
      <c r="E14" s="2">
        <v>83673377</v>
      </c>
      <c r="F14" s="2">
        <v>127630929</v>
      </c>
      <c r="G14" s="2">
        <v>76</v>
      </c>
      <c r="H14" s="2">
        <v>14</v>
      </c>
      <c r="I14" s="2">
        <v>44</v>
      </c>
      <c r="J14" s="2">
        <v>369023968</v>
      </c>
      <c r="K14" s="2">
        <v>0</v>
      </c>
      <c r="L14" s="2">
        <v>0</v>
      </c>
      <c r="M14" s="2">
        <v>0</v>
      </c>
      <c r="N14" s="25">
        <v>369024085</v>
      </c>
    </row>
    <row r="15" spans="1:14" x14ac:dyDescent="0.2">
      <c r="A15" s="40" t="s">
        <v>4</v>
      </c>
      <c r="B15" s="2">
        <v>23308539</v>
      </c>
      <c r="C15" s="51">
        <v>2912946</v>
      </c>
      <c r="D15" s="2">
        <v>1426752</v>
      </c>
      <c r="E15" s="2">
        <v>3130532</v>
      </c>
      <c r="F15" s="2">
        <v>18611864</v>
      </c>
      <c r="G15" s="2">
        <v>139391</v>
      </c>
      <c r="H15" s="2">
        <v>82758</v>
      </c>
      <c r="I15" s="2">
        <v>0</v>
      </c>
      <c r="J15" s="2">
        <v>23168804</v>
      </c>
      <c r="K15" s="2">
        <v>0</v>
      </c>
      <c r="L15" s="2">
        <v>7660</v>
      </c>
      <c r="M15" s="2">
        <v>0</v>
      </c>
      <c r="N15" s="25">
        <v>23300879</v>
      </c>
    </row>
    <row r="16" spans="1:14" x14ac:dyDescent="0.2">
      <c r="A16" s="38" t="s">
        <v>2</v>
      </c>
      <c r="B16" s="22">
        <v>290690</v>
      </c>
      <c r="C16" s="52">
        <v>12405</v>
      </c>
      <c r="D16" s="22">
        <v>104685</v>
      </c>
      <c r="E16" s="22">
        <v>2038</v>
      </c>
      <c r="F16" s="22">
        <v>177682</v>
      </c>
      <c r="G16" s="22">
        <v>6285</v>
      </c>
      <c r="H16" s="22">
        <v>0</v>
      </c>
      <c r="I16" s="22">
        <v>101</v>
      </c>
      <c r="J16" s="22">
        <v>283810</v>
      </c>
      <c r="K16" s="22">
        <v>78212</v>
      </c>
      <c r="L16" s="22">
        <v>76830</v>
      </c>
      <c r="M16" s="22">
        <v>0</v>
      </c>
      <c r="N16" s="26">
        <v>135648</v>
      </c>
    </row>
    <row r="17" spans="1:14" ht="17" thickBot="1" x14ac:dyDescent="0.25"/>
    <row r="18" spans="1:14" ht="17" thickBot="1" x14ac:dyDescent="0.25">
      <c r="A18" s="41" t="s">
        <v>59</v>
      </c>
      <c r="B18" s="1"/>
      <c r="C18" s="1"/>
      <c r="D18" s="41" t="s">
        <v>23</v>
      </c>
      <c r="E18" s="1"/>
      <c r="F18" s="1"/>
      <c r="G18" s="1"/>
      <c r="H18" s="41" t="s">
        <v>24</v>
      </c>
      <c r="I18" s="1"/>
      <c r="J18" s="1"/>
      <c r="K18" s="41" t="s">
        <v>26</v>
      </c>
      <c r="L18" s="1"/>
      <c r="M18" s="1"/>
      <c r="N18" s="1"/>
    </row>
    <row r="19" spans="1:14" x14ac:dyDescent="0.2">
      <c r="A19" s="54" t="s">
        <v>6</v>
      </c>
      <c r="B19" s="55" t="s">
        <v>18</v>
      </c>
      <c r="C19" s="55" t="s">
        <v>52</v>
      </c>
      <c r="D19" s="55" t="s">
        <v>28</v>
      </c>
      <c r="E19" s="55" t="s">
        <v>29</v>
      </c>
      <c r="F19" s="55" t="s">
        <v>30</v>
      </c>
      <c r="G19" s="55" t="s">
        <v>31</v>
      </c>
      <c r="H19" s="55" t="s">
        <v>19</v>
      </c>
      <c r="I19" s="55" t="s">
        <v>20</v>
      </c>
      <c r="J19" s="55" t="s">
        <v>21</v>
      </c>
      <c r="K19" s="55" t="s">
        <v>53</v>
      </c>
      <c r="L19" s="55" t="s">
        <v>54</v>
      </c>
      <c r="M19" s="55" t="s">
        <v>55</v>
      </c>
      <c r="N19" s="56" t="s">
        <v>56</v>
      </c>
    </row>
    <row r="20" spans="1:14" x14ac:dyDescent="0.2">
      <c r="A20" s="40" t="s">
        <v>12</v>
      </c>
      <c r="B20" s="2">
        <v>3284</v>
      </c>
      <c r="C20" s="2">
        <v>3284</v>
      </c>
      <c r="D20" s="2">
        <v>15</v>
      </c>
      <c r="E20" s="2">
        <v>3265</v>
      </c>
      <c r="F20" s="2">
        <v>0</v>
      </c>
      <c r="G20" s="2">
        <v>4</v>
      </c>
      <c r="H20" s="2">
        <v>4</v>
      </c>
      <c r="I20" s="2">
        <v>0</v>
      </c>
      <c r="J20" s="2">
        <v>3280</v>
      </c>
      <c r="K20" s="2">
        <v>0</v>
      </c>
      <c r="L20" s="2">
        <v>0</v>
      </c>
      <c r="M20" s="2">
        <v>0</v>
      </c>
      <c r="N20" s="25">
        <v>3284</v>
      </c>
    </row>
    <row r="21" spans="1:14" x14ac:dyDescent="0.2">
      <c r="A21" s="40" t="s">
        <v>57</v>
      </c>
      <c r="B21" s="2">
        <v>38</v>
      </c>
      <c r="C21" s="2">
        <v>38</v>
      </c>
      <c r="D21" s="2">
        <v>6</v>
      </c>
      <c r="E21" s="2">
        <v>2</v>
      </c>
      <c r="F21" s="2">
        <v>30</v>
      </c>
      <c r="G21" s="2">
        <v>0</v>
      </c>
      <c r="H21" s="2">
        <v>0</v>
      </c>
      <c r="I21" s="2">
        <v>0</v>
      </c>
      <c r="J21" s="2">
        <v>38</v>
      </c>
      <c r="K21" s="2">
        <v>0</v>
      </c>
      <c r="L21" s="2">
        <v>0</v>
      </c>
      <c r="M21" s="2">
        <v>0</v>
      </c>
      <c r="N21" s="25">
        <v>38</v>
      </c>
    </row>
    <row r="22" spans="1:14" x14ac:dyDescent="0.2">
      <c r="A22" s="38" t="s">
        <v>58</v>
      </c>
      <c r="B22" s="22">
        <v>36</v>
      </c>
      <c r="C22" s="22">
        <v>0</v>
      </c>
      <c r="D22" s="22">
        <v>36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36</v>
      </c>
      <c r="K22" s="22">
        <v>0</v>
      </c>
      <c r="L22" s="22">
        <v>0</v>
      </c>
      <c r="M22" s="22">
        <v>0</v>
      </c>
      <c r="N22" s="26">
        <v>36</v>
      </c>
    </row>
    <row r="23" spans="1:14" ht="17" thickBot="1" x14ac:dyDescent="0.25"/>
    <row r="24" spans="1:14" x14ac:dyDescent="0.2">
      <c r="A24" s="57" t="s">
        <v>65</v>
      </c>
      <c r="B24" s="58" t="s">
        <v>66</v>
      </c>
      <c r="C24" s="59" t="s">
        <v>63</v>
      </c>
      <c r="E24" s="57" t="s">
        <v>67</v>
      </c>
      <c r="F24" s="58" t="s">
        <v>66</v>
      </c>
      <c r="G24" s="59" t="s">
        <v>63</v>
      </c>
      <c r="I24" s="57" t="s">
        <v>68</v>
      </c>
      <c r="J24" s="58" t="s">
        <v>66</v>
      </c>
      <c r="K24" s="59" t="s">
        <v>63</v>
      </c>
    </row>
    <row r="25" spans="1:14" x14ac:dyDescent="0.2">
      <c r="A25" s="40" t="s">
        <v>3</v>
      </c>
      <c r="B25" s="44">
        <f>(D8+F8)/B8</f>
        <v>0.77325747450874383</v>
      </c>
      <c r="C25" s="20">
        <f>(K8+L8+M8)/B8</f>
        <v>0</v>
      </c>
      <c r="E25" s="19" t="s">
        <v>4</v>
      </c>
      <c r="F25" s="44">
        <f>(D15+F15)/B15</f>
        <v>0.85971137015494625</v>
      </c>
      <c r="G25" s="20">
        <f>(K15+L15+M15)/B15</f>
        <v>3.2863492645334829E-4</v>
      </c>
      <c r="I25" s="19" t="s">
        <v>12</v>
      </c>
      <c r="J25" s="44">
        <f>(D20+F20)/B20</f>
        <v>4.5676004872107186E-3</v>
      </c>
      <c r="K25" s="20">
        <f>(K20+L20+M20)/B20</f>
        <v>0</v>
      </c>
    </row>
    <row r="26" spans="1:14" x14ac:dyDescent="0.2">
      <c r="A26" s="40" t="s">
        <v>14</v>
      </c>
      <c r="B26" s="44">
        <f>(D9+F9)/B9</f>
        <v>0.23464215550088602</v>
      </c>
      <c r="C26" s="20">
        <f>(K9+L9+M9)/B9</f>
        <v>5.6480219215773196E-2</v>
      </c>
      <c r="E26" s="21" t="s">
        <v>2</v>
      </c>
      <c r="F26" s="53">
        <f>(D16+F16)/B16</f>
        <v>0.97136812411847673</v>
      </c>
      <c r="G26" s="23">
        <f>(K16+L16+M16)/B16</f>
        <v>0.53335856066600162</v>
      </c>
      <c r="I26" s="19" t="s">
        <v>57</v>
      </c>
      <c r="J26" s="44">
        <f t="shared" ref="J26:J27" si="0">(D21+F21)/B21</f>
        <v>0.94736842105263153</v>
      </c>
      <c r="K26" s="20">
        <f>(K21+L21+M21)/B21</f>
        <v>0</v>
      </c>
    </row>
    <row r="27" spans="1:14" x14ac:dyDescent="0.2">
      <c r="A27" s="38" t="s">
        <v>33</v>
      </c>
      <c r="B27" s="53">
        <f>(D10+F10)/B10</f>
        <v>0.15859255191628124</v>
      </c>
      <c r="C27" s="23">
        <f t="shared" ref="C27" si="1">(K10+L10+M10)/B10</f>
        <v>1.95764352424981E-3</v>
      </c>
      <c r="I27" s="21" t="s">
        <v>58</v>
      </c>
      <c r="J27" s="53">
        <f t="shared" si="0"/>
        <v>1</v>
      </c>
      <c r="K27" s="23">
        <f>(K22+L22+M22)/B22</f>
        <v>0</v>
      </c>
    </row>
    <row r="28" spans="1:14" ht="17" thickBot="1" x14ac:dyDescent="0.25"/>
    <row r="29" spans="1:14" x14ac:dyDescent="0.2">
      <c r="A29" s="57" t="s">
        <v>6</v>
      </c>
      <c r="B29" s="58" t="s">
        <v>96</v>
      </c>
      <c r="C29" s="58" t="s">
        <v>97</v>
      </c>
      <c r="D29" s="59" t="s">
        <v>98</v>
      </c>
    </row>
    <row r="30" spans="1:14" x14ac:dyDescent="0.2">
      <c r="A30" s="40" t="s">
        <v>33</v>
      </c>
      <c r="B30" s="2" t="s">
        <v>90</v>
      </c>
      <c r="C30" s="2">
        <v>114747598</v>
      </c>
      <c r="D30" s="20">
        <f>C30/C10</f>
        <v>0.97145130573958227</v>
      </c>
    </row>
    <row r="31" spans="1:14" x14ac:dyDescent="0.2">
      <c r="A31" s="40" t="s">
        <v>14</v>
      </c>
      <c r="B31" s="2" t="s">
        <v>91</v>
      </c>
      <c r="C31" s="2">
        <v>104224056</v>
      </c>
      <c r="D31" s="20">
        <f>C31/C9</f>
        <v>0.6924927715159187</v>
      </c>
    </row>
    <row r="32" spans="1:14" x14ac:dyDescent="0.2">
      <c r="A32" s="40" t="s">
        <v>4</v>
      </c>
      <c r="B32" s="2" t="s">
        <v>92</v>
      </c>
      <c r="C32" s="2">
        <v>2049688</v>
      </c>
      <c r="D32" s="20">
        <f>C32/C15</f>
        <v>0.70364778475124501</v>
      </c>
    </row>
    <row r="33" spans="1:4" x14ac:dyDescent="0.2">
      <c r="A33" s="40" t="s">
        <v>3</v>
      </c>
      <c r="B33" s="2" t="s">
        <v>89</v>
      </c>
      <c r="C33" s="2">
        <v>31077</v>
      </c>
      <c r="D33" s="20">
        <f>C33/C8</f>
        <v>0.338880104683496</v>
      </c>
    </row>
    <row r="34" spans="1:4" ht="51" x14ac:dyDescent="0.2">
      <c r="A34" s="40" t="s">
        <v>2</v>
      </c>
      <c r="B34" s="5" t="s">
        <v>93</v>
      </c>
      <c r="C34" s="2">
        <v>4168</v>
      </c>
      <c r="D34" s="20">
        <f>C34/C16</f>
        <v>0.33599355098750505</v>
      </c>
    </row>
    <row r="35" spans="1:4" x14ac:dyDescent="0.2">
      <c r="A35" s="40" t="s">
        <v>12</v>
      </c>
      <c r="B35" s="2" t="s">
        <v>94</v>
      </c>
      <c r="C35" s="2">
        <v>3284</v>
      </c>
      <c r="D35" s="20">
        <f>C35/C20</f>
        <v>1</v>
      </c>
    </row>
    <row r="36" spans="1:4" x14ac:dyDescent="0.2">
      <c r="A36" s="38" t="s">
        <v>57</v>
      </c>
      <c r="B36" s="22" t="s">
        <v>95</v>
      </c>
      <c r="C36" s="22">
        <v>38</v>
      </c>
      <c r="D36" s="23">
        <f>C36/C21</f>
        <v>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B568-890E-8F4E-A531-0DD5C15E32CE}">
  <dimension ref="A1:V33"/>
  <sheetViews>
    <sheetView tabSelected="1" workbookViewId="0">
      <selection activeCell="O32" sqref="O32"/>
    </sheetView>
  </sheetViews>
  <sheetFormatPr baseColWidth="10" defaultRowHeight="16" x14ac:dyDescent="0.2"/>
  <cols>
    <col min="1" max="1" width="17.6640625" customWidth="1"/>
    <col min="5" max="5" width="12.1640625" customWidth="1"/>
    <col min="6" max="6" width="29.5" style="60" customWidth="1"/>
    <col min="7" max="7" width="11.5" customWidth="1"/>
    <col min="10" max="10" width="11.1640625" customWidth="1"/>
    <col min="11" max="11" width="11.5" customWidth="1"/>
    <col min="12" max="12" width="24" customWidth="1"/>
    <col min="13" max="13" width="11.6640625" customWidth="1"/>
    <col min="14" max="14" width="11.5" customWidth="1"/>
    <col min="15" max="15" width="13.33203125" customWidth="1"/>
    <col min="19" max="19" width="15.83203125" customWidth="1"/>
    <col min="20" max="20" width="11.6640625" customWidth="1"/>
    <col min="21" max="21" width="14.5" customWidth="1"/>
    <col min="22" max="22" width="12.1640625" customWidth="1"/>
  </cols>
  <sheetData>
    <row r="1" spans="1:22" x14ac:dyDescent="0.2">
      <c r="F1"/>
    </row>
    <row r="2" spans="1:22" x14ac:dyDescent="0.2">
      <c r="A2" s="61"/>
      <c r="B2" s="2"/>
      <c r="D2" s="2"/>
      <c r="F2"/>
    </row>
    <row r="3" spans="1:22" x14ac:dyDescent="0.2">
      <c r="F3"/>
    </row>
    <row r="4" spans="1:22" x14ac:dyDescent="0.2">
      <c r="F4"/>
    </row>
    <row r="5" spans="1:22" ht="17" thickBot="1" x14ac:dyDescent="0.25">
      <c r="F5"/>
    </row>
    <row r="6" spans="1:22" ht="17" thickBot="1" x14ac:dyDescent="0.25">
      <c r="A6" s="74" t="s">
        <v>141</v>
      </c>
      <c r="B6" s="67" t="s">
        <v>127</v>
      </c>
      <c r="D6" s="90" t="s">
        <v>127</v>
      </c>
      <c r="E6" s="91" t="s">
        <v>6</v>
      </c>
      <c r="F6" s="91" t="s">
        <v>132</v>
      </c>
      <c r="G6" s="92" t="s">
        <v>155</v>
      </c>
      <c r="I6" s="80" t="s">
        <v>0</v>
      </c>
      <c r="J6" s="90" t="s">
        <v>44</v>
      </c>
      <c r="K6" s="77" t="s">
        <v>6</v>
      </c>
      <c r="L6" s="77" t="s">
        <v>132</v>
      </c>
      <c r="M6" s="77" t="s">
        <v>142</v>
      </c>
      <c r="N6" s="91" t="s">
        <v>143</v>
      </c>
      <c r="O6" s="92" t="s">
        <v>150</v>
      </c>
      <c r="Q6" t="s">
        <v>44</v>
      </c>
      <c r="R6" t="s">
        <v>0</v>
      </c>
      <c r="S6" t="s">
        <v>6</v>
      </c>
      <c r="T6" t="s">
        <v>142</v>
      </c>
      <c r="U6" t="s">
        <v>132</v>
      </c>
      <c r="V6" t="s">
        <v>152</v>
      </c>
    </row>
    <row r="7" spans="1:22" x14ac:dyDescent="0.2">
      <c r="A7" s="72" t="s">
        <v>128</v>
      </c>
      <c r="B7" s="25">
        <v>673934</v>
      </c>
      <c r="D7" s="87">
        <v>673934</v>
      </c>
      <c r="E7" s="88" t="s">
        <v>33</v>
      </c>
      <c r="F7" s="88" t="s">
        <v>90</v>
      </c>
      <c r="G7" s="89">
        <v>114736315</v>
      </c>
      <c r="I7" s="76">
        <v>673934</v>
      </c>
      <c r="J7" s="93">
        <v>93</v>
      </c>
      <c r="K7" t="s">
        <v>33</v>
      </c>
      <c r="L7" t="s">
        <v>90</v>
      </c>
      <c r="N7" s="88" t="s">
        <v>144</v>
      </c>
      <c r="O7" s="89">
        <v>12063</v>
      </c>
      <c r="Q7">
        <v>26</v>
      </c>
      <c r="R7">
        <v>673934</v>
      </c>
      <c r="S7" t="s">
        <v>9</v>
      </c>
      <c r="T7" t="s">
        <v>153</v>
      </c>
      <c r="U7" t="s">
        <v>154</v>
      </c>
      <c r="V7">
        <v>203</v>
      </c>
    </row>
    <row r="8" spans="1:22" x14ac:dyDescent="0.2">
      <c r="A8" s="75" t="s">
        <v>60</v>
      </c>
      <c r="B8" s="75">
        <v>1</v>
      </c>
      <c r="E8" s="63" t="s">
        <v>14</v>
      </c>
      <c r="F8" t="s">
        <v>91</v>
      </c>
      <c r="G8" s="62">
        <v>104224056</v>
      </c>
      <c r="J8" s="75">
        <v>4</v>
      </c>
      <c r="K8" t="s">
        <v>14</v>
      </c>
      <c r="L8" t="s">
        <v>91</v>
      </c>
      <c r="N8" t="s">
        <v>145</v>
      </c>
      <c r="O8" s="62">
        <v>145547</v>
      </c>
    </row>
    <row r="9" spans="1:22" x14ac:dyDescent="0.2">
      <c r="A9" s="76" t="s">
        <v>129</v>
      </c>
      <c r="B9" s="76">
        <v>4</v>
      </c>
      <c r="E9" s="64" t="s">
        <v>14</v>
      </c>
      <c r="F9" s="65" t="s">
        <v>134</v>
      </c>
      <c r="G9" s="66">
        <v>16248475</v>
      </c>
      <c r="J9" s="76">
        <v>53</v>
      </c>
      <c r="K9" s="65" t="s">
        <v>14</v>
      </c>
      <c r="L9" s="65" t="s">
        <v>134</v>
      </c>
      <c r="M9" s="65"/>
      <c r="N9" s="65" t="s">
        <v>146</v>
      </c>
      <c r="O9" s="66">
        <v>24106</v>
      </c>
    </row>
    <row r="10" spans="1:22" ht="17" thickBot="1" x14ac:dyDescent="0.25">
      <c r="F10"/>
    </row>
    <row r="11" spans="1:22" ht="17" thickBot="1" x14ac:dyDescent="0.25">
      <c r="D11" s="90" t="s">
        <v>127</v>
      </c>
      <c r="E11" s="91" t="s">
        <v>6</v>
      </c>
      <c r="F11" s="91" t="s">
        <v>132</v>
      </c>
      <c r="G11" s="92" t="s">
        <v>155</v>
      </c>
      <c r="I11" s="80" t="s">
        <v>0</v>
      </c>
      <c r="J11" s="90" t="s">
        <v>44</v>
      </c>
      <c r="K11" s="77" t="s">
        <v>6</v>
      </c>
      <c r="L11" s="77" t="s">
        <v>132</v>
      </c>
      <c r="M11" s="77" t="s">
        <v>142</v>
      </c>
      <c r="N11" s="91" t="s">
        <v>143</v>
      </c>
      <c r="O11" s="92" t="s">
        <v>150</v>
      </c>
    </row>
    <row r="12" spans="1:22" x14ac:dyDescent="0.2">
      <c r="B12" s="61"/>
      <c r="D12" s="94">
        <v>1</v>
      </c>
      <c r="E12" s="95" t="s">
        <v>14</v>
      </c>
      <c r="F12" s="95" t="s">
        <v>94</v>
      </c>
      <c r="G12" s="96">
        <v>73322</v>
      </c>
      <c r="I12" s="78">
        <v>1</v>
      </c>
      <c r="J12" s="94">
        <v>45</v>
      </c>
      <c r="K12" s="65" t="s">
        <v>14</v>
      </c>
      <c r="L12" s="65" t="s">
        <v>94</v>
      </c>
      <c r="M12" s="65"/>
      <c r="N12" s="95" t="s">
        <v>149</v>
      </c>
      <c r="O12" s="96">
        <v>6250</v>
      </c>
    </row>
    <row r="13" spans="1:22" ht="16" customHeight="1" thickBot="1" x14ac:dyDescent="0.25">
      <c r="B13" s="61"/>
      <c r="F13"/>
    </row>
    <row r="14" spans="1:22" ht="33" customHeight="1" thickBot="1" x14ac:dyDescent="0.25">
      <c r="B14" s="61"/>
      <c r="D14" s="81" t="s">
        <v>127</v>
      </c>
      <c r="E14" s="82" t="s">
        <v>6</v>
      </c>
      <c r="F14" s="82" t="s">
        <v>132</v>
      </c>
      <c r="G14" s="83" t="s">
        <v>133</v>
      </c>
    </row>
    <row r="15" spans="1:22" x14ac:dyDescent="0.2">
      <c r="D15" s="84">
        <v>4</v>
      </c>
      <c r="E15" s="85" t="s">
        <v>137</v>
      </c>
      <c r="F15" s="85" t="s">
        <v>94</v>
      </c>
      <c r="G15" s="86">
        <v>25</v>
      </c>
    </row>
    <row r="16" spans="1:22" x14ac:dyDescent="0.2">
      <c r="F16"/>
    </row>
    <row r="17" spans="1:15" x14ac:dyDescent="0.2">
      <c r="F17"/>
    </row>
    <row r="18" spans="1:15" x14ac:dyDescent="0.2">
      <c r="B18" s="61"/>
      <c r="D18" s="61"/>
    </row>
    <row r="19" spans="1:15" x14ac:dyDescent="0.2">
      <c r="B19" s="61"/>
    </row>
    <row r="20" spans="1:15" ht="16" customHeight="1" x14ac:dyDescent="0.2">
      <c r="B20" s="61"/>
    </row>
    <row r="21" spans="1:15" ht="17" thickBot="1" x14ac:dyDescent="0.25">
      <c r="F21"/>
    </row>
    <row r="22" spans="1:15" ht="17" thickBot="1" x14ac:dyDescent="0.25">
      <c r="A22" s="74" t="s">
        <v>130</v>
      </c>
      <c r="B22" s="67" t="s">
        <v>131</v>
      </c>
      <c r="D22" s="90" t="s">
        <v>131</v>
      </c>
      <c r="E22" s="91" t="s">
        <v>6</v>
      </c>
      <c r="F22" s="91" t="s">
        <v>132</v>
      </c>
      <c r="G22" s="92" t="s">
        <v>155</v>
      </c>
      <c r="I22" s="74" t="s">
        <v>44</v>
      </c>
      <c r="J22" s="91" t="s">
        <v>0</v>
      </c>
      <c r="K22" s="91" t="s">
        <v>6</v>
      </c>
      <c r="L22" s="91" t="s">
        <v>132</v>
      </c>
      <c r="M22" s="91" t="s">
        <v>142</v>
      </c>
      <c r="N22" s="91" t="s">
        <v>143</v>
      </c>
      <c r="O22" s="92" t="s">
        <v>151</v>
      </c>
    </row>
    <row r="23" spans="1:15" ht="34" x14ac:dyDescent="0.2">
      <c r="A23" s="63"/>
      <c r="B23" s="71">
        <v>738</v>
      </c>
      <c r="D23" s="97">
        <v>738</v>
      </c>
      <c r="E23" s="88" t="s">
        <v>2</v>
      </c>
      <c r="F23" s="98" t="s">
        <v>93</v>
      </c>
      <c r="G23" s="89">
        <v>4168</v>
      </c>
      <c r="I23" s="78">
        <v>738</v>
      </c>
      <c r="J23" s="99">
        <v>69</v>
      </c>
      <c r="K23" s="88" t="s">
        <v>2</v>
      </c>
      <c r="L23" s="98" t="s">
        <v>93</v>
      </c>
      <c r="M23" s="88"/>
      <c r="N23" s="88" t="s">
        <v>144</v>
      </c>
      <c r="O23" s="89">
        <v>834</v>
      </c>
    </row>
    <row r="24" spans="1:15" ht="51" x14ac:dyDescent="0.2">
      <c r="A24" s="63"/>
      <c r="B24" s="72">
        <v>73</v>
      </c>
      <c r="D24" s="62"/>
      <c r="E24" t="s">
        <v>2</v>
      </c>
      <c r="F24" s="60" t="s">
        <v>135</v>
      </c>
      <c r="G24" s="62">
        <v>726</v>
      </c>
      <c r="J24" s="75">
        <v>69</v>
      </c>
      <c r="K24" t="s">
        <v>2</v>
      </c>
      <c r="L24" s="79" t="s">
        <v>135</v>
      </c>
      <c r="N24" t="s">
        <v>144</v>
      </c>
      <c r="O24" s="62">
        <v>188</v>
      </c>
    </row>
    <row r="25" spans="1:15" ht="34" x14ac:dyDescent="0.2">
      <c r="B25" s="73">
        <v>116</v>
      </c>
      <c r="E25" s="64" t="s">
        <v>2</v>
      </c>
      <c r="F25" s="68" t="s">
        <v>136</v>
      </c>
      <c r="G25" s="66">
        <v>429</v>
      </c>
      <c r="J25" s="76">
        <v>69</v>
      </c>
      <c r="K25" s="65" t="s">
        <v>2</v>
      </c>
      <c r="L25" s="68" t="s">
        <v>136</v>
      </c>
      <c r="M25" s="65"/>
      <c r="N25" s="65" t="s">
        <v>144</v>
      </c>
      <c r="O25" s="66">
        <v>177</v>
      </c>
    </row>
    <row r="26" spans="1:15" ht="17" thickBot="1" x14ac:dyDescent="0.25"/>
    <row r="27" spans="1:15" ht="18" thickBot="1" x14ac:dyDescent="0.25">
      <c r="D27" s="90" t="s">
        <v>131</v>
      </c>
      <c r="E27" s="91" t="s">
        <v>6</v>
      </c>
      <c r="F27" s="100" t="s">
        <v>132</v>
      </c>
      <c r="G27" s="92" t="s">
        <v>155</v>
      </c>
      <c r="I27" s="74" t="s">
        <v>44</v>
      </c>
      <c r="J27" s="91" t="s">
        <v>0</v>
      </c>
      <c r="K27" s="77" t="s">
        <v>6</v>
      </c>
      <c r="L27" s="77" t="s">
        <v>132</v>
      </c>
      <c r="M27" s="77" t="s">
        <v>142</v>
      </c>
      <c r="N27" s="91" t="s">
        <v>143</v>
      </c>
      <c r="O27" s="92" t="s">
        <v>151</v>
      </c>
    </row>
    <row r="28" spans="1:15" ht="17" x14ac:dyDescent="0.2">
      <c r="D28" s="97">
        <v>73</v>
      </c>
      <c r="E28" s="88" t="s">
        <v>14</v>
      </c>
      <c r="F28" s="98" t="s">
        <v>138</v>
      </c>
      <c r="G28" s="101">
        <v>13872</v>
      </c>
      <c r="I28" s="78">
        <v>73</v>
      </c>
      <c r="J28" s="99">
        <v>673934</v>
      </c>
      <c r="K28" t="s">
        <v>14</v>
      </c>
      <c r="L28" t="s">
        <v>138</v>
      </c>
      <c r="N28" s="88" t="s">
        <v>148</v>
      </c>
      <c r="O28" s="89">
        <v>330</v>
      </c>
    </row>
    <row r="29" spans="1:15" ht="17" x14ac:dyDescent="0.2">
      <c r="D29" s="62"/>
      <c r="E29" t="s">
        <v>14</v>
      </c>
      <c r="F29" s="60" t="s">
        <v>94</v>
      </c>
      <c r="G29" s="69">
        <v>6571</v>
      </c>
      <c r="J29" s="75">
        <v>673934</v>
      </c>
      <c r="K29" t="s">
        <v>14</v>
      </c>
      <c r="L29" t="s">
        <v>94</v>
      </c>
      <c r="N29" t="s">
        <v>147</v>
      </c>
      <c r="O29" s="62">
        <v>311</v>
      </c>
    </row>
    <row r="30" spans="1:15" ht="34" x14ac:dyDescent="0.2">
      <c r="E30" s="64" t="s">
        <v>14</v>
      </c>
      <c r="F30" s="68" t="s">
        <v>139</v>
      </c>
      <c r="G30" s="70">
        <v>850</v>
      </c>
      <c r="J30" s="76">
        <v>673934</v>
      </c>
      <c r="K30" s="65" t="s">
        <v>14</v>
      </c>
      <c r="L30" s="68" t="s">
        <v>139</v>
      </c>
      <c r="M30" s="65"/>
      <c r="N30" s="65" t="s">
        <v>145</v>
      </c>
      <c r="O30" s="66">
        <v>180</v>
      </c>
    </row>
    <row r="31" spans="1:15" ht="17" thickBot="1" x14ac:dyDescent="0.25"/>
    <row r="32" spans="1:15" ht="18" thickBot="1" x14ac:dyDescent="0.25">
      <c r="D32" s="90" t="s">
        <v>131</v>
      </c>
      <c r="E32" s="91" t="s">
        <v>6</v>
      </c>
      <c r="F32" s="100" t="s">
        <v>132</v>
      </c>
      <c r="G32" s="92" t="s">
        <v>155</v>
      </c>
      <c r="I32" s="74" t="s">
        <v>44</v>
      </c>
      <c r="J32" s="91" t="s">
        <v>0</v>
      </c>
      <c r="K32" s="77" t="s">
        <v>6</v>
      </c>
      <c r="L32" s="77" t="s">
        <v>132</v>
      </c>
      <c r="M32" s="77" t="s">
        <v>142</v>
      </c>
      <c r="N32" s="91" t="s">
        <v>143</v>
      </c>
      <c r="O32" s="92" t="s">
        <v>151</v>
      </c>
    </row>
    <row r="33" spans="4:15" ht="17" x14ac:dyDescent="0.2">
      <c r="D33" s="94">
        <v>116</v>
      </c>
      <c r="E33" s="95" t="s">
        <v>11</v>
      </c>
      <c r="F33" s="102" t="s">
        <v>140</v>
      </c>
      <c r="G33" s="96">
        <v>812</v>
      </c>
      <c r="I33" s="78">
        <v>116</v>
      </c>
      <c r="J33" s="103">
        <v>6690</v>
      </c>
      <c r="K33" s="65" t="s">
        <v>11</v>
      </c>
      <c r="L33" s="65" t="s">
        <v>140</v>
      </c>
      <c r="M33" s="65"/>
      <c r="N33" s="95" t="s">
        <v>144</v>
      </c>
      <c r="O33" s="96">
        <v>17</v>
      </c>
    </row>
  </sheetData>
  <pageMargins left="0.7" right="0.7" top="0.75" bottom="0.75" header="0.3" footer="0.3"/>
  <pageSetup orientation="portrait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Key</vt:lpstr>
      <vt:lpstr>Question1</vt:lpstr>
      <vt:lpstr>Question 2</vt:lpstr>
      <vt:lpstr>Question 3</vt:lpstr>
      <vt:lpstr>Question 4</vt:lpstr>
      <vt:lpstr>Question 5</vt:lpstr>
      <vt:lpstr>Mitre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safaridynmte@gmail.com</dc:creator>
  <cp:lastModifiedBy>safaridynmte@gmail.com</cp:lastModifiedBy>
  <dcterms:created xsi:type="dcterms:W3CDTF">2025-06-21T08:25:16Z</dcterms:created>
  <dcterms:modified xsi:type="dcterms:W3CDTF">2025-07-04T06:41:41Z</dcterms:modified>
</cp:coreProperties>
</file>